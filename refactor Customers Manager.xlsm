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43F67E49-AC68-4A2C-875D-C8C52C9F36E5}" xr6:coauthVersionLast="46" xr6:coauthVersionMax="46" xr10:uidLastSave="{00000000-0000-0000-0000-000000000000}"/>
  <bookViews>
    <workbookView xWindow="-120" yWindow="-120" windowWidth="29040" windowHeight="17790" tabRatio="853" xr2:uid="{00000000-000D-0000-FFFF-FFFF00000000}"/>
  </bookViews>
  <sheets>
    <sheet name="Manager" sheetId="20" r:id="rId1"/>
    <sheet name="CustomersList" sheetId="10" r:id="rId2"/>
    <sheet name="Adresses" sheetId="7" r:id="rId3"/>
    <sheet name="Controls" sheetId="8" r:id="rId4"/>
    <sheet name="Contacts" sheetId="5" r:id="rId5"/>
    <sheet name="Sales" sheetId="9" r:id="rId6"/>
    <sheet name="Shippings" sheetId="11" r:id="rId7"/>
    <sheet name="Billings" sheetId="12" r:id="rId8"/>
    <sheet name="Partners" sheetId="6" r:id="rId9"/>
    <sheet name="Extras" sheetId="36" r:id="rId10"/>
    <sheet name="RPAStatus" sheetId="13" r:id="rId11"/>
    <sheet name="CaptionSources.EN" sheetId="14" r:id="rId12"/>
    <sheet name="CaptionSources.DE" sheetId="16" r:id="rId13"/>
    <sheet name="RowSources.EN" sheetId="21" r:id="rId14"/>
    <sheet name="RowSources.DE" sheetId="22" r:id="rId15"/>
    <sheet name="RowSources.0361.ES" sheetId="23" r:id="rId16"/>
    <sheet name="RowSources.2561.01" sheetId="24" r:id="rId17"/>
    <sheet name="RowSources.2961.01" sheetId="25" r:id="rId18"/>
    <sheet name="RowSources.2961.GY" sheetId="27" r:id="rId19"/>
    <sheet name="RowSources.2961.HD" sheetId="28" r:id="rId20"/>
    <sheet name="RowSources.3661.01" sheetId="26" r:id="rId21"/>
    <sheet name="RowSources.3661.MB" sheetId="29" r:id="rId22"/>
  </sheets>
  <definedNames>
    <definedName name="_xlnm._FilterDatabase" localSheetId="2" hidden="1">Adresses!$A$1:$U$9</definedName>
    <definedName name="_xlnm._FilterDatabase" localSheetId="11" hidden="1">'CaptionSources.EN'!$A$1:$C$163</definedName>
    <definedName name="_xlnm._FilterDatabase" localSheetId="4" hidden="1">Contacts!$B$1:$I$2</definedName>
    <definedName name="_xlnm._FilterDatabase" localSheetId="3" hidden="1">Controls!$A$1:$K$9</definedName>
    <definedName name="_xlnm._FilterDatabase" localSheetId="1" hidden="1">CustomersList!#REF!</definedName>
    <definedName name="_xlnm._FilterDatabase" localSheetId="5" hidden="1">Sales!$A$1:$I$9</definedName>
    <definedName name="_xlcn.WorksheetConnection_CustomersManagerNEW.xlsmAdressesTable" hidden="1">AdressesTable[]</definedName>
    <definedName name="_xlcn.WorksheetConnection_CustomersManagerNEW.xlsmRPAStatusTable" hidden="1">RPAStatusTable[]</definedName>
    <definedName name="Adresses">OFFSET(Adresses!$A$1, 0, 0, COUNTA(Adresses!$A:$A), COUNTA(Adresses!$1:$1))</definedName>
    <definedName name="AdressesBody">OFFSET(Adresses!$A$1, 1, 0, COUNTA(Adresses!$A:$A)-1, COUNTA(Adresses!$1:$1))</definedName>
    <definedName name="AdressesHeader">OFFSET(Adresses!$A$1, 0, 0, 1, COUNTA(Adresses!$1:$1))</definedName>
    <definedName name="AdressesId">OFFSET(Adresses!$A$1, 1, 0, COUNTA(Adresses!$A:$A)-1, 1)</definedName>
    <definedName name="FileName">Manager!$C$5</definedName>
  </definedNames>
  <calcPr calcId="191029"/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PAStatusTable" name="RPAStatusTable" connection="WorksheetConnection_Customers Manager - NEW.xlsm!RPAStatusTable"/>
          <x15:modelTable id="AdressesTable" name="AdressesTable" connection="WorksheetConnection_Customers Manager - NEW.xlsm!AdressesTable"/>
        </x15:modelTables>
        <x15:modelRelationships>
          <x15:modelRelationship fromTable="RPAStatusTable" fromColumn="ID" toTable="AdressesTable" toColumn="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PAStatusTable" columnName="TimeStampApproved" columnId="TimeStampApproved">
                <x16:calculatedTimeColumn columnName="TimeStampApproved (Hour)" columnId="TimeStampApproved (Hour)" contentType="hours" isSelected="1"/>
                <x16:calculatedTimeColumn columnName="TimeStampApproved (Minute)" columnId="TimeStampApproved (Minute)" contentType="minutes" isSelected="1"/>
                <x16:calculatedTimeColumn columnName="TimeStampApproved (Second)" columnId="TimeStampApproved (Second)" contentType="seconds" isSelected="1"/>
              </x16:modelTimeGrouping>
              <x16:modelTimeGrouping tableName="AdressesTable" columnName="TimeStampCreated" columnId="TimeStampCreated">
                <x16:calculatedTimeColumn columnName="TimeStampCreated (Day Index)" columnId="TimeStampCreated (Day Index)" contentType="daysindex" isSelected="1"/>
                <x16:calculatedTimeColumn columnName="TimeStampCreated (Day)" columnId="TimeStampCreated (Day)" contentType="days" isSelected="1"/>
                <x16:calculatedTimeColumn columnName="TimeStampCreated (Hour)" columnId="TimeStampCreated (Hour)" contentType="hours" isSelected="1"/>
                <x16:calculatedTimeColumn columnName="TimeStampCreated (Minute)" columnId="TimeStampCreated (Minute)" contentType="minutes" isSelected="1"/>
                <x16:calculatedTimeColumn columnName="TimeStampCreated (Second)" columnId="TimeStampCreated (Second)" contentType="second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C4" i="20" l="1"/>
  <c r="C5" i="20" s="1"/>
  <c r="E8" i="20" s="1"/>
  <c r="C18" i="20"/>
  <c r="D18" i="20" s="1"/>
  <c r="C22" i="20"/>
  <c r="D22" i="20" s="1"/>
  <c r="C26" i="20"/>
  <c r="D26" i="20" s="1"/>
  <c r="C30" i="20"/>
  <c r="D30" i="20" s="1"/>
  <c r="C34" i="20"/>
  <c r="D34" i="20" s="1"/>
  <c r="C38" i="20"/>
  <c r="D38" i="20" s="1"/>
  <c r="C42" i="20"/>
  <c r="D42" i="20" s="1"/>
  <c r="C46" i="20"/>
  <c r="D46" i="20" s="1"/>
  <c r="D21" i="20" l="1"/>
  <c r="D37" i="20"/>
  <c r="D45" i="20"/>
  <c r="D35" i="20"/>
  <c r="D43" i="20"/>
  <c r="D36" i="20"/>
  <c r="D33" i="20"/>
  <c r="D29" i="20"/>
  <c r="D19" i="20"/>
  <c r="D49" i="20"/>
  <c r="D27" i="20"/>
  <c r="D20" i="20"/>
  <c r="D44" i="20"/>
  <c r="D41" i="20"/>
  <c r="D28" i="20"/>
  <c r="D25" i="20"/>
  <c r="D47" i="20"/>
  <c r="D39" i="20"/>
  <c r="D31" i="20"/>
  <c r="D23" i="20"/>
  <c r="E9" i="20"/>
  <c r="E11" i="20"/>
  <c r="E13" i="20"/>
  <c r="E15" i="20"/>
  <c r="E10" i="20"/>
  <c r="E12" i="20"/>
  <c r="E14" i="20"/>
  <c r="D48" i="20"/>
  <c r="D40" i="20"/>
  <c r="D32" i="20"/>
  <c r="D24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s Manager - NEW.xlsm!AdressesTable" type="102" refreshedVersion="7" minRefreshableVersion="5">
    <extLst>
      <ext xmlns:x15="http://schemas.microsoft.com/office/spreadsheetml/2010/11/main" uri="{DE250136-89BD-433C-8126-D09CA5730AF9}">
        <x15:connection id="AdressesTable">
          <x15:rangePr sourceName="_xlcn.WorksheetConnection_CustomersManagerNEW.xlsmAdressesTable"/>
        </x15:connection>
      </ext>
    </extLst>
  </connection>
  <connection id="3" xr16:uid="{00000000-0015-0000-FFFF-FFFF02000000}" name="WorksheetConnection_Customers Manager - NEW.xlsm!RPAStatusTable" type="102" refreshedVersion="7" minRefreshableVersion="5">
    <extLst>
      <ext xmlns:x15="http://schemas.microsoft.com/office/spreadsheetml/2010/11/main" uri="{DE250136-89BD-433C-8126-D09CA5730AF9}">
        <x15:connection id="RPAStatusTable">
          <x15:rangePr sourceName="_xlcn.WorksheetConnection_CustomersManagerNEW.xlsmRPAStatusTable"/>
        </x15:connection>
      </ext>
    </extLst>
  </connection>
</connections>
</file>

<file path=xl/sharedStrings.xml><?xml version="1.0" encoding="utf-8"?>
<sst xmlns="http://schemas.openxmlformats.org/spreadsheetml/2006/main" count="4860" uniqueCount="2021">
  <si>
    <t>KUNA - Auftraggeber/ Regulierer</t>
  </si>
  <si>
    <t>2961 - Interlining DE</t>
  </si>
  <si>
    <t>Luegallee</t>
  </si>
  <si>
    <t>Duesseldorf</t>
  </si>
  <si>
    <t>DE - Deutschland</t>
  </si>
  <si>
    <t>DE - Deutsch</t>
  </si>
  <si>
    <t>FA - Fashion</t>
  </si>
  <si>
    <t>Kallenborn</t>
  </si>
  <si>
    <t>Rafael</t>
  </si>
  <si>
    <t>Y001 - Geschäftsführung</t>
  </si>
  <si>
    <t>29NW - Nicole Obloj</t>
  </si>
  <si>
    <t>01ZS - Frau Sima</t>
  </si>
  <si>
    <t>B06 - Grossegödinghaus, P.</t>
  </si>
  <si>
    <t>C - Small revenue customers</t>
  </si>
  <si>
    <t>EUR - Euro</t>
  </si>
  <si>
    <t>P5 - IL PL Bochum P3+15%</t>
  </si>
  <si>
    <t>AC - Abgeh. Paketdienst</t>
  </si>
  <si>
    <t>CIP - Frachtfrei versichert</t>
  </si>
  <si>
    <t>Düsseldorf</t>
  </si>
  <si>
    <t>Z334</t>
  </si>
  <si>
    <t>ZF - Fax-/Mailempfänger</t>
  </si>
  <si>
    <t>ZP - Provisionsvertreter</t>
  </si>
  <si>
    <t>Mindestbestellwert von EUR 300</t>
  </si>
  <si>
    <t>KUNA - Sold-to party/ Payer</t>
  </si>
  <si>
    <t>01 - Industrie</t>
  </si>
  <si>
    <t>BG - Bulgaria</t>
  </si>
  <si>
    <t>EN - Englisch</t>
  </si>
  <si>
    <t>Y002 - Purchasing</t>
  </si>
  <si>
    <t>29MJ - Michael Jäger</t>
  </si>
  <si>
    <t>01KV - Frau Kovács</t>
  </si>
  <si>
    <t>29F - Michael Jäger</t>
  </si>
  <si>
    <t>AA - Abgeh. LKW</t>
  </si>
  <si>
    <t>CIP - Carriage and insurance paid to</t>
  </si>
  <si>
    <t>K000</t>
  </si>
  <si>
    <t>ZF - Fax-/Email recipient</t>
  </si>
  <si>
    <t>keine</t>
  </si>
  <si>
    <t>Toth, Zoltan</t>
  </si>
  <si>
    <t>KUNW - Warenempfänger/ Rechnungsempfänger</t>
  </si>
  <si>
    <t>KUNW - Ship-to party/ Bill-to party</t>
  </si>
  <si>
    <t>0361 - Interlining ES</t>
  </si>
  <si>
    <t>ES - Interlinings Iberia</t>
  </si>
  <si>
    <t>ES - Spain</t>
  </si>
  <si>
    <t>ES - Spanish</t>
  </si>
  <si>
    <t>HD - Heidelberg</t>
  </si>
  <si>
    <t>HS - Home Sewing &amp; Crafts</t>
  </si>
  <si>
    <t>29KG - Katja Herbrand</t>
  </si>
  <si>
    <t>29GT - Gertrud Teodorescu</t>
  </si>
  <si>
    <t>H65 - Anne-Marie Ott</t>
  </si>
  <si>
    <t>78 - Theater</t>
  </si>
  <si>
    <t>N5 - IL Preisl. 5  Heidel</t>
  </si>
  <si>
    <t>Z030</t>
  </si>
  <si>
    <t>FR - Frankreich</t>
  </si>
  <si>
    <t>FR - Französisch</t>
  </si>
  <si>
    <t>Y002 - Einkauf</t>
  </si>
  <si>
    <t>29SC - Sergio Churko</t>
  </si>
  <si>
    <t>29MR - Mirela Radu</t>
  </si>
  <si>
    <t>29C - Christophe Cardon</t>
  </si>
  <si>
    <t>04 - Pricelist P3+5% IF</t>
  </si>
  <si>
    <t>AX - Abgeh. Sped.Stückg/P</t>
  </si>
  <si>
    <t>0000000103 - Laufzeit 72 Std.</t>
  </si>
  <si>
    <t>LT - Litauen</t>
  </si>
  <si>
    <t>H11 - Susanne Schnack</t>
  </si>
  <si>
    <t>N4 - IL Preisl. 4  Heidel</t>
  </si>
  <si>
    <t>K300</t>
  </si>
  <si>
    <t>01DC - Frau Bucur</t>
  </si>
  <si>
    <t>F02 - MADELIN Axelle</t>
  </si>
  <si>
    <t>Z045</t>
  </si>
  <si>
    <t>0311 - IL ES</t>
  </si>
  <si>
    <t>03VE - Ventas 1</t>
  </si>
  <si>
    <t>E05 - IL ZONA NORTE (FLL)</t>
  </si>
  <si>
    <t>PS - Tarifa Standard</t>
  </si>
  <si>
    <t>AA - Truck / leaving</t>
  </si>
  <si>
    <t>0000000000 - 'Country'</t>
  </si>
  <si>
    <t>E2 - Factory calendar Spain - Catalonia</t>
  </si>
  <si>
    <t>ES - Factory calendar Spain standard</t>
  </si>
  <si>
    <t>3A00</t>
  </si>
  <si>
    <t>10 - domestic revenues</t>
  </si>
  <si>
    <t>EX - Eintreff. Sped.Stü/P</t>
  </si>
  <si>
    <t>0000000101 - Laufzeit 24 Std.</t>
  </si>
  <si>
    <t xml:space="preserve"> </t>
  </si>
  <si>
    <t>01DN - Lorand Greff</t>
  </si>
  <si>
    <t>M62 - Liegl, Johann</t>
  </si>
  <si>
    <t>B - Medium revenue customers</t>
  </si>
  <si>
    <t>Z414</t>
  </si>
  <si>
    <t>CP - Contact Person (AP)</t>
  </si>
  <si>
    <t>SP -  Sold-to party (AG)</t>
  </si>
  <si>
    <t>ZP - Commision Repres.</t>
  </si>
  <si>
    <t>Ansprechpartner Buchhaltung</t>
  </si>
  <si>
    <t>Y007 - Qualitätssicherung</t>
  </si>
  <si>
    <t>ID</t>
  </si>
  <si>
    <t>Status</t>
  </si>
  <si>
    <t>Region</t>
  </si>
  <si>
    <t>Fax</t>
  </si>
  <si>
    <t>Email</t>
  </si>
  <si>
    <t>Incoterms</t>
  </si>
  <si>
    <t>Name</t>
  </si>
  <si>
    <t>Nicht Relevant</t>
  </si>
  <si>
    <t>Not relevant</t>
  </si>
  <si>
    <t>AccountGroup</t>
  </si>
  <si>
    <t>SalesOrganisation</t>
  </si>
  <si>
    <t>Channel</t>
  </si>
  <si>
    <t>FirstName</t>
  </si>
  <si>
    <t>LegalFormDescription</t>
  </si>
  <si>
    <t>Street</t>
  </si>
  <si>
    <t>StreetNumber</t>
  </si>
  <si>
    <t>SecondStreet</t>
  </si>
  <si>
    <t>ForthStreet</t>
  </si>
  <si>
    <t>Area</t>
  </si>
  <si>
    <t>Postcode</t>
  </si>
  <si>
    <t>Country</t>
  </si>
  <si>
    <t>Language</t>
  </si>
  <si>
    <t>Telephone</t>
  </si>
  <si>
    <t>Vendor</t>
  </si>
  <si>
    <t>GroupKey</t>
  </si>
  <si>
    <t>TaxNumberOne</t>
  </si>
  <si>
    <t>TaxNumberSecond</t>
  </si>
  <si>
    <t>TaxNumberThird</t>
  </si>
  <si>
    <t>TaxNumberForth</t>
  </si>
  <si>
    <t>IsNaturalPerson</t>
  </si>
  <si>
    <t>VatRegistrationNumber</t>
  </si>
  <si>
    <t>CustomerSegmentaion</t>
  </si>
  <si>
    <t>EntiltedForWebShop</t>
  </si>
  <si>
    <t>CustomerFirstName</t>
  </si>
  <si>
    <t>CustomerSecondName</t>
  </si>
  <si>
    <t>CustomerThirdName</t>
  </si>
  <si>
    <t>CustomerForthName</t>
  </si>
  <si>
    <t>TimeStampCreated</t>
  </si>
  <si>
    <t>TimeStampModified</t>
  </si>
  <si>
    <t>TimeStampApproved</t>
  </si>
  <si>
    <t>City</t>
  </si>
  <si>
    <t>Department</t>
  </si>
  <si>
    <t>ContactFunction</t>
  </si>
  <si>
    <t>SalesDistrict</t>
  </si>
  <si>
    <t>SalesOffice</t>
  </si>
  <si>
    <t>SalesGroup</t>
  </si>
  <si>
    <t>CustomerGroup</t>
  </si>
  <si>
    <t>AbcClass</t>
  </si>
  <si>
    <t>SalesCurrency</t>
  </si>
  <si>
    <t>ExchangeRateType</t>
  </si>
  <si>
    <t>PriceList</t>
  </si>
  <si>
    <t>DeliveryPriority</t>
  </si>
  <si>
    <t>ShippingConditions</t>
  </si>
  <si>
    <t>DeliveryPlant</t>
  </si>
  <si>
    <t>CompleteDeliveryRequired</t>
  </si>
  <si>
    <t>OrderCombination</t>
  </si>
  <si>
    <t>BoundleLabels</t>
  </si>
  <si>
    <t>RollLabels</t>
  </si>
  <si>
    <t>TransportZone</t>
  </si>
  <si>
    <t>NoFreightCost</t>
  </si>
  <si>
    <t>PartialDeliveryPerItem</t>
  </si>
  <si>
    <t>MaxPartialDeliveries</t>
  </si>
  <si>
    <t>Rebate</t>
  </si>
  <si>
    <t>InvoicingDates</t>
  </si>
  <si>
    <t>InvoicingListDates</t>
  </si>
  <si>
    <t>IncotermsCity</t>
  </si>
  <si>
    <t>TermsOfPayment</t>
  </si>
  <si>
    <t>AccountAssigmentGroup</t>
  </si>
  <si>
    <t>TextMinimumQuantitySurcharge</t>
  </si>
  <si>
    <t>TextRemarks</t>
  </si>
  <si>
    <t>PartnerFunction</t>
  </si>
  <si>
    <t>Nummber</t>
  </si>
  <si>
    <t>UserCreated</t>
  </si>
  <si>
    <t>UserModified</t>
  </si>
  <si>
    <t>UserApproved</t>
  </si>
  <si>
    <t>EntiltedForEmailNotification</t>
  </si>
  <si>
    <t>Fiege Logistik Stiftung &amp; Co.</t>
  </si>
  <si>
    <t>AccountSapNr</t>
  </si>
  <si>
    <t>ObjectType</t>
  </si>
  <si>
    <t>TabIndex</t>
  </si>
  <si>
    <t>Label</t>
  </si>
  <si>
    <t>Division</t>
  </si>
  <si>
    <t>Sales organization</t>
  </si>
  <si>
    <t>Distribution channel</t>
  </si>
  <si>
    <t>Action</t>
  </si>
  <si>
    <t>CheckBox</t>
  </si>
  <si>
    <t>Has no Legal Form</t>
  </si>
  <si>
    <t xml:space="preserve">  Street Address</t>
  </si>
  <si>
    <t>Setup E-Invoice</t>
  </si>
  <si>
    <t>E-mail</t>
  </si>
  <si>
    <t xml:space="preserve">  Communication</t>
  </si>
  <si>
    <t xml:space="preserve">  General Data</t>
  </si>
  <si>
    <t>District</t>
  </si>
  <si>
    <t>Postal Code</t>
  </si>
  <si>
    <t>House Nr.</t>
  </si>
  <si>
    <t>Street 2</t>
  </si>
  <si>
    <t>Legal Form</t>
  </si>
  <si>
    <t>CRM reference no.</t>
  </si>
  <si>
    <t>DUNS Number</t>
  </si>
  <si>
    <t xml:space="preserve">  Account control</t>
  </si>
  <si>
    <t>Group Key</t>
  </si>
  <si>
    <t>Customer Segmentation</t>
  </si>
  <si>
    <t>Natural person</t>
  </si>
  <si>
    <t xml:space="preserve">  Tax Information</t>
  </si>
  <si>
    <t>Tax Nummber 2</t>
  </si>
  <si>
    <t>Tax Nummber 3</t>
  </si>
  <si>
    <t>Tax Nummber 4</t>
  </si>
  <si>
    <t>VAT Reg. No.</t>
  </si>
  <si>
    <t xml:space="preserve">  Additional Data</t>
  </si>
  <si>
    <t>Web Shop</t>
  </si>
  <si>
    <t>Tax Nummber 1</t>
  </si>
  <si>
    <t xml:space="preserve">  Contact Person</t>
  </si>
  <si>
    <t xml:space="preserve"> Department         1.
                               2.
                               3.</t>
  </si>
  <si>
    <t xml:space="preserve"> E-mail                   1.
                               2.
                               3.</t>
  </si>
  <si>
    <t xml:space="preserve"> Fax                        1.
                               2.
                               3.</t>
  </si>
  <si>
    <t xml:space="preserve"> Last name            1.
                               2.
                               3.</t>
  </si>
  <si>
    <t xml:space="preserve"> Language              1.
                               2.
                               3.</t>
  </si>
  <si>
    <t xml:space="preserve"> Telephone            1.
                               2.
                               3.</t>
  </si>
  <si>
    <t xml:space="preserve"> First name            1.
                               2.
                               3.</t>
  </si>
  <si>
    <t>ABC class</t>
  </si>
  <si>
    <t xml:space="preserve">  Sales order</t>
  </si>
  <si>
    <t>Sales district</t>
  </si>
  <si>
    <t>Customer group</t>
  </si>
  <si>
    <t xml:space="preserve">  Pricing/ Statistics</t>
  </si>
  <si>
    <t>Price List</t>
  </si>
  <si>
    <t>Sales Office</t>
  </si>
  <si>
    <t>Sales Group</t>
  </si>
  <si>
    <t>Currency</t>
  </si>
  <si>
    <t>Exch. Rate Type</t>
  </si>
  <si>
    <t>Order Combination</t>
  </si>
  <si>
    <t>Delivery Plant</t>
  </si>
  <si>
    <t>Bundle labels</t>
  </si>
  <si>
    <t>No freight cost</t>
  </si>
  <si>
    <t>Complete delivery req.</t>
  </si>
  <si>
    <t>Delivery Priority</t>
  </si>
  <si>
    <t>Roll labels</t>
  </si>
  <si>
    <t>Partial delivery/ item</t>
  </si>
  <si>
    <t xml:space="preserve">  Partial deliveries</t>
  </si>
  <si>
    <t>Max. partial delivery</t>
  </si>
  <si>
    <t>Transport Zone</t>
  </si>
  <si>
    <t xml:space="preserve">  Shipping</t>
  </si>
  <si>
    <t>Shipping Conditions</t>
  </si>
  <si>
    <t>Acct assgmt group</t>
  </si>
  <si>
    <t xml:space="preserve">  Billing Documents</t>
  </si>
  <si>
    <t>Incoterms City</t>
  </si>
  <si>
    <t xml:space="preserve">  Delivery and payment terms</t>
  </si>
  <si>
    <t>Invoicing List Dates</t>
  </si>
  <si>
    <t>Invoicing dates</t>
  </si>
  <si>
    <t>Terms of payment</t>
  </si>
  <si>
    <t>PayTerm. Explanation 1.
PayTerm. Explanation 2.
PayTerm. Explanation 3.</t>
  </si>
  <si>
    <t xml:space="preserve">  Accounting/ Taxes</t>
  </si>
  <si>
    <t>Country 1</t>
  </si>
  <si>
    <t>Tax Category 1</t>
  </si>
  <si>
    <t>Tax classification 1</t>
  </si>
  <si>
    <t>Country 2</t>
  </si>
  <si>
    <t>Country 3</t>
  </si>
  <si>
    <t>Tax Category 2</t>
  </si>
  <si>
    <t>Tax Category 3</t>
  </si>
  <si>
    <t>Tax classification 2</t>
  </si>
  <si>
    <t>Tax classification 3</t>
  </si>
  <si>
    <t>Remarks/ Texts</t>
  </si>
  <si>
    <t>Min. Order Quantity</t>
  </si>
  <si>
    <t>Partner Function</t>
  </si>
  <si>
    <t>Partner SAP Nr.</t>
  </si>
  <si>
    <t xml:space="preserve">  Partner Functions</t>
  </si>
  <si>
    <t>Approved</t>
  </si>
  <si>
    <t xml:space="preserve">  RPA Status Info</t>
  </si>
  <si>
    <t>New SAP Nr.</t>
  </si>
  <si>
    <t>Sold-to party/ Payer OR Ship-to party/ Bill-to party</t>
  </si>
  <si>
    <t xml:space="preserve">  SAP data</t>
  </si>
  <si>
    <t>Requested from</t>
  </si>
  <si>
    <t>Modified from</t>
  </si>
  <si>
    <t>Approved from</t>
  </si>
  <si>
    <t>Save</t>
  </si>
  <si>
    <t xml:space="preserve">  Other</t>
  </si>
  <si>
    <t>RPA Action</t>
  </si>
  <si>
    <t>ID/ Status</t>
  </si>
  <si>
    <t>UserLang</t>
  </si>
  <si>
    <t>Selected Row</t>
  </si>
  <si>
    <t>Caption</t>
  </si>
  <si>
    <t>ControlTipText</t>
  </si>
  <si>
    <t>RowSource</t>
  </si>
  <si>
    <t>Debug</t>
  </si>
  <si>
    <t xml:space="preserve"> Configure</t>
  </si>
  <si>
    <t>Click</t>
  </si>
  <si>
    <t xml:space="preserve"> Address</t>
  </si>
  <si>
    <t xml:space="preserve"> Control/ Other Data</t>
  </si>
  <si>
    <t xml:space="preserve"> Contact Persons</t>
  </si>
  <si>
    <t xml:space="preserve"> Sales</t>
  </si>
  <si>
    <t xml:space="preserve"> Shipping</t>
  </si>
  <si>
    <t xml:space="preserve"> Billing Documents</t>
  </si>
  <si>
    <t xml:space="preserve"> Partner/ Other Data</t>
  </si>
  <si>
    <t xml:space="preserve"> Approve/ RPA-Boot</t>
  </si>
  <si>
    <t>Version 2.1 (BETA)</t>
  </si>
  <si>
    <t xml:space="preserve">  Delete</t>
  </si>
  <si>
    <t xml:space="preserve">  Save  </t>
  </si>
  <si>
    <t xml:space="preserve">  First Page  </t>
  </si>
  <si>
    <t xml:space="preserve">  Last Page  </t>
  </si>
  <si>
    <t xml:space="preserve">  Back  </t>
  </si>
  <si>
    <t xml:space="preserve">  Next  </t>
  </si>
  <si>
    <t>UserForm</t>
  </si>
  <si>
    <t>ControlTipText Value</t>
  </si>
  <si>
    <t>Caption Value</t>
  </si>
  <si>
    <t>Customers Manager</t>
  </si>
  <si>
    <t>CommandButton</t>
  </si>
  <si>
    <t>View</t>
  </si>
  <si>
    <t>View selected Customer.</t>
  </si>
  <si>
    <t>Add new Customer.</t>
  </si>
  <si>
    <t>Kundenmanager</t>
  </si>
  <si>
    <t>Customers overview. 
To edit or view please select anc click the coresponding button.</t>
  </si>
  <si>
    <t>Kundenübersicht. 
Kunde Bearbeiten oder Anzeigen wählen Sie bitte in die List und klicken Sie auf die entsprechende Schaltfläche.</t>
  </si>
  <si>
    <t>Hinzufügen</t>
  </si>
  <si>
    <t>Anzeigen</t>
  </si>
  <si>
    <t>Neuen Kunden hinzufügen.</t>
  </si>
  <si>
    <t>Ausgewählten Kunden anzeigen.</t>
  </si>
  <si>
    <t>Path</t>
  </si>
  <si>
    <t>FileName</t>
  </si>
  <si>
    <t>Backend
Class</t>
  </si>
  <si>
    <t>Worksheet
Name</t>
  </si>
  <si>
    <t>Connection
String</t>
  </si>
  <si>
    <t>Table
Name</t>
  </si>
  <si>
    <t>Worksheet</t>
  </si>
  <si>
    <t>Range Formulas</t>
  </si>
  <si>
    <t>Sheet</t>
  </si>
  <si>
    <t>ControlsTable</t>
  </si>
  <si>
    <t>ContactsTable</t>
  </si>
  <si>
    <t>SalesTable</t>
  </si>
  <si>
    <t>ShippingsTable</t>
  </si>
  <si>
    <t>BillingsTable</t>
  </si>
  <si>
    <t>PartnersTable</t>
  </si>
  <si>
    <t>ExtrasTable</t>
  </si>
  <si>
    <t>Controls</t>
  </si>
  <si>
    <t>Contacts</t>
  </si>
  <si>
    <t>Sales</t>
  </si>
  <si>
    <t>Shippings</t>
  </si>
  <si>
    <t>Billings</t>
  </si>
  <si>
    <t>Partners</t>
  </si>
  <si>
    <t>Extras</t>
  </si>
  <si>
    <t>ControlsHeader</t>
  </si>
  <si>
    <t>ControlsBody</t>
  </si>
  <si>
    <t>ControlsId</t>
  </si>
  <si>
    <t>SalesHeader</t>
  </si>
  <si>
    <t>SalesBody</t>
  </si>
  <si>
    <t>SalesId</t>
  </si>
  <si>
    <t>ContactsHeader</t>
  </si>
  <si>
    <t>ContactsBody</t>
  </si>
  <si>
    <t>ContactsId</t>
  </si>
  <si>
    <t>ShippingsHeader</t>
  </si>
  <si>
    <t>ShippingsBody</t>
  </si>
  <si>
    <t>ShippingsId</t>
  </si>
  <si>
    <t>BillingsHeader</t>
  </si>
  <si>
    <t>BillingsBody</t>
  </si>
  <si>
    <t>BillingsId</t>
  </si>
  <si>
    <t>PartnersHeader</t>
  </si>
  <si>
    <t>PartnersBody</t>
  </si>
  <si>
    <t>PartnersId</t>
  </si>
  <si>
    <t>ExtrasHeader</t>
  </si>
  <si>
    <t>ExtrasBody</t>
  </si>
  <si>
    <t>ExtrasId</t>
  </si>
  <si>
    <t>TABELS MANAGER</t>
  </si>
  <si>
    <t>Value</t>
  </si>
  <si>
    <t>String to Match</t>
  </si>
  <si>
    <t>Add</t>
  </si>
  <si>
    <t>Configure basic data for a new account request. 
After "Apply" these values cannot be changed.</t>
  </si>
  <si>
    <t>Debitor anlegen: Einstieg</t>
  </si>
  <si>
    <t>Customer Create: Initial Screen</t>
  </si>
  <si>
    <t>Frame</t>
  </si>
  <si>
    <t>OptionButton</t>
  </si>
  <si>
    <t>Account Group</t>
  </si>
  <si>
    <t>Sales Organisation</t>
  </si>
  <si>
    <t>Account ID</t>
  </si>
  <si>
    <t>Cancel</t>
  </si>
  <si>
    <t>CancelButton</t>
  </si>
  <si>
    <t>Kontengruppe</t>
  </si>
  <si>
    <t>Konfigurieren Sie die Basisdaten für eine neue Kontoanforderung.
Nach "Übernehme" können diese Werte nicht mehr geändert werden.</t>
  </si>
  <si>
    <t>Verkaufsorganisation</t>
  </si>
  <si>
    <t>Vertriebsweg</t>
  </si>
  <si>
    <t>Konto ID</t>
  </si>
  <si>
    <t>Apply</t>
  </si>
  <si>
    <t>Account Request</t>
  </si>
  <si>
    <t>AD - Andorra</t>
  </si>
  <si>
    <t xml:space="preserve">BE - Belgien </t>
  </si>
  <si>
    <t>BE - Belgium</t>
  </si>
  <si>
    <t>DE - German</t>
  </si>
  <si>
    <t>Y001 - Managing Director</t>
  </si>
  <si>
    <t>1J - FFT-others</t>
  </si>
  <si>
    <t>GKA - Global Key Accounts</t>
  </si>
  <si>
    <t>CHF - Schweizerische Franken</t>
  </si>
  <si>
    <t>CHF - Swiss Franc</t>
  </si>
  <si>
    <t>B - Briefkurs (selling rate)</t>
  </si>
  <si>
    <t>B - Selling rate</t>
  </si>
  <si>
    <t>_ - Teillieferung erlaubt</t>
  </si>
  <si>
    <t>_ - Partial delivery allowed</t>
  </si>
  <si>
    <t>01 - Fabrikkalender Deutschland (Baden-Würtemberg)</t>
  </si>
  <si>
    <t>01 - Factory calendar Germany standard</t>
  </si>
  <si>
    <t>CIF - Kosten, Versicherung &amp; Fracht</t>
  </si>
  <si>
    <t>CIF - Cost, insurance &amp; freight</t>
  </si>
  <si>
    <t>10 - Erlöse Inland</t>
  </si>
  <si>
    <t>MWST</t>
  </si>
  <si>
    <t>AG - Auftraggeber</t>
  </si>
  <si>
    <t>AE - Ver.Arab.Emir.</t>
  </si>
  <si>
    <t>AE - Utd.Arab.Emir.</t>
  </si>
  <si>
    <t xml:space="preserve">BG - Bulgarien </t>
  </si>
  <si>
    <t>SW - Sportswear</t>
  </si>
  <si>
    <t>WS - Web Shop berechtigt</t>
  </si>
  <si>
    <t>WS - Web Shop entilted</t>
  </si>
  <si>
    <t>24 - Vermittler</t>
  </si>
  <si>
    <t>24 - agents</t>
  </si>
  <si>
    <t>KA - Top Regional</t>
  </si>
  <si>
    <t>C - Briefkurs (inofficial) - AR Ambito</t>
  </si>
  <si>
    <t>C - selling rate (inofficial) -AR Ambito</t>
  </si>
  <si>
    <t>A - Eine Lieferung mit Menge ungleich null erzeugen</t>
  </si>
  <si>
    <t>A - Create a delivery with quantity greater than zero</t>
  </si>
  <si>
    <t>02 - Fabrikkalender Deutschland (Rheinland-Pfalz)</t>
  </si>
  <si>
    <t>02 - Germany (Schleswig-Holstein)</t>
  </si>
  <si>
    <t>11 - Erlöse Vers. Inland</t>
  </si>
  <si>
    <t>11 - dom. revenues insur.</t>
  </si>
  <si>
    <t>ZREQ</t>
  </si>
  <si>
    <t>AP - Ansprechpartner</t>
  </si>
  <si>
    <t>AF - Afghanistan</t>
  </si>
  <si>
    <t xml:space="preserve">DK - Dänemark </t>
  </si>
  <si>
    <t>DK - Denmark</t>
  </si>
  <si>
    <t>ES - Spanisch</t>
  </si>
  <si>
    <t>Y003 - Verkauf</t>
  </si>
  <si>
    <t>Y003 - Sales</t>
  </si>
  <si>
    <t>WW - Workwear</t>
  </si>
  <si>
    <t>50 - IL-Ladieswear</t>
  </si>
  <si>
    <t>P - 2 Grow</t>
  </si>
  <si>
    <t>GBP - Britische Pfund</t>
  </si>
  <si>
    <t>GBP - British Pound</t>
  </si>
  <si>
    <t>EURO - Standardumrechnung für EWU</t>
  </si>
  <si>
    <t>EURO - Standard translation for EMU</t>
  </si>
  <si>
    <t>B - Nur eine Lieferung (auch mit Menge = 0) erzeugen</t>
  </si>
  <si>
    <t>B - Create only one delivery (also with quantity = 0)</t>
  </si>
  <si>
    <t>03 - Fabrikkalender Deutschland (Baden-Würtemberg / 6 Tage Woche)</t>
  </si>
  <si>
    <t>03 - Germany (Hamburg)</t>
  </si>
  <si>
    <t>CPT - Frachtfrei</t>
  </si>
  <si>
    <t>CPT - Carriage paid to</t>
  </si>
  <si>
    <t>20 - Erlöse Ausland</t>
  </si>
  <si>
    <t>20 - abroad revenues</t>
  </si>
  <si>
    <t>RE - Rechnungsempfänger</t>
  </si>
  <si>
    <t>BP - Bill-to party (RE)</t>
  </si>
  <si>
    <t>AG - Antigua/Barbuda</t>
  </si>
  <si>
    <t>AG - Antigua/Barbads</t>
  </si>
  <si>
    <t xml:space="preserve">EE - Estland </t>
  </si>
  <si>
    <t>EE - Estonia</t>
  </si>
  <si>
    <t>FR - French</t>
  </si>
  <si>
    <t>Y004 - Organisation</t>
  </si>
  <si>
    <t>Y004 - Organization</t>
  </si>
  <si>
    <t>51 - IL-Menswear</t>
  </si>
  <si>
    <t>A - High revenue customers</t>
  </si>
  <si>
    <t>PLN - Polnische Zloty</t>
  </si>
  <si>
    <t>PLN - Polish Zloty</t>
  </si>
  <si>
    <t>F - Jahresendkurs Frankreich</t>
  </si>
  <si>
    <t>F - Yearend FX - France</t>
  </si>
  <si>
    <t>C - Lieferung darf nur vollständig erfolgen</t>
  </si>
  <si>
    <t>C - Only complete delivery allowed</t>
  </si>
  <si>
    <t>05 - Fabrikkalender Deutschland (Nordrhein-Westfalen)</t>
  </si>
  <si>
    <t>05 - Germany (Bremen)</t>
  </si>
  <si>
    <t>DAP - Gelief. vereinb. Ort unentlad.</t>
  </si>
  <si>
    <t>DAP - Delivered at Place</t>
  </si>
  <si>
    <t>RG - Regulierer</t>
  </si>
  <si>
    <t>PY - Payer (RG)</t>
  </si>
  <si>
    <t>AI - Anguilla</t>
  </si>
  <si>
    <t xml:space="preserve">FI - Finnland </t>
  </si>
  <si>
    <t>FI - Finland</t>
  </si>
  <si>
    <t>IT - Italienisch</t>
  </si>
  <si>
    <t>IT - Italian</t>
  </si>
  <si>
    <t>Y005 - Verwaltung</t>
  </si>
  <si>
    <t>Y005 - Administration</t>
  </si>
  <si>
    <t>52 - IL-Shirt</t>
  </si>
  <si>
    <t>USD - Amerikanische Dollar</t>
  </si>
  <si>
    <t>USD - American Dollar</t>
  </si>
  <si>
    <t>G - Geldkurs (buying rate)</t>
  </si>
  <si>
    <t>G - Buying rate</t>
  </si>
  <si>
    <t>D - Beliebige Nachlieferung</t>
  </si>
  <si>
    <t>D - No limit to subsequent deliveries</t>
  </si>
  <si>
    <t>09 - Fabrikkalender Deutschland (Bayern)</t>
  </si>
  <si>
    <t>09 - Germany (Bavaria)</t>
  </si>
  <si>
    <t>FCA - Frei Frachtführer</t>
  </si>
  <si>
    <t>FCA - Free carrier</t>
  </si>
  <si>
    <t>CR - Forwarding agent</t>
  </si>
  <si>
    <t>AL - Albanien</t>
  </si>
  <si>
    <t>AL - Albania</t>
  </si>
  <si>
    <t xml:space="preserve">FR - Frankreich </t>
  </si>
  <si>
    <t>FR - France</t>
  </si>
  <si>
    <t>PT - Portugiesisch</t>
  </si>
  <si>
    <t>PT - Portuguese</t>
  </si>
  <si>
    <t>Y006 - Fertigung</t>
  </si>
  <si>
    <t>Y006 - Production</t>
  </si>
  <si>
    <t>53 - IL-Retail</t>
  </si>
  <si>
    <t>TRY - Türkische Lira</t>
  </si>
  <si>
    <t>TRY - Turkish Lira</t>
  </si>
  <si>
    <t>K - Basiskurs Korea (USD only)</t>
  </si>
  <si>
    <t>K - Base rate Korea (USD only)</t>
  </si>
  <si>
    <t>23 - Deutschland (Niedersachsen)</t>
  </si>
  <si>
    <t>10 - Germany (Saarland)</t>
  </si>
  <si>
    <t>FOB - Frei an Bord</t>
  </si>
  <si>
    <t>FOB - Free on board</t>
  </si>
  <si>
    <t>WE - Warenempfänger</t>
  </si>
  <si>
    <t>SH - Ship-to party (WE)</t>
  </si>
  <si>
    <t>AM - Armenien</t>
  </si>
  <si>
    <t>AM - Armenia</t>
  </si>
  <si>
    <t xml:space="preserve">GR - Griechenland </t>
  </si>
  <si>
    <t>GR - Greece</t>
  </si>
  <si>
    <t>TR - Türkisch</t>
  </si>
  <si>
    <t>TR - Turkish</t>
  </si>
  <si>
    <t>Y007 - Quality assurance</t>
  </si>
  <si>
    <t>54 - IL-Dealers/Distr.</t>
  </si>
  <si>
    <t>M - Standardumrechnung zum Mittelkurs</t>
  </si>
  <si>
    <t>M - Standard translation at average rate</t>
  </si>
  <si>
    <t>93 - Calendario de fábrica FN-E</t>
  </si>
  <si>
    <t>13 - Germany (Saxony-Anhalt)</t>
  </si>
  <si>
    <t>ZB - Tracking Mail</t>
  </si>
  <si>
    <t>AN - Niederl.Antill.</t>
  </si>
  <si>
    <t>AN - Dutch Antilles</t>
  </si>
  <si>
    <t xml:space="preserve">IE - Irland </t>
  </si>
  <si>
    <t>IE - Ireland</t>
  </si>
  <si>
    <t>Y008 - Sekretariat</t>
  </si>
  <si>
    <t>Y008 - Secretaries</t>
  </si>
  <si>
    <t>55 - IL-Agents</t>
  </si>
  <si>
    <t>P - Standardumrechnung für die Kostenplanung</t>
  </si>
  <si>
    <t>P - Standard translation for cost planning</t>
  </si>
  <si>
    <t>97 - Mo-Fr ohne Feiertage</t>
  </si>
  <si>
    <t>15 - Germany (Mecklenburg)</t>
  </si>
  <si>
    <t>AO - Angola</t>
  </si>
  <si>
    <t xml:space="preserve">IT - Italien </t>
  </si>
  <si>
    <t>IT - Italy</t>
  </si>
  <si>
    <t>Y009 - Finanzabteilung</t>
  </si>
  <si>
    <t>Y009 - Financial department</t>
  </si>
  <si>
    <t>56 - IL-Others</t>
  </si>
  <si>
    <t>98 - BW System Bestandsaktualisierung</t>
  </si>
  <si>
    <t>AQ - Antarktis</t>
  </si>
  <si>
    <t>AQ - Antarctica</t>
  </si>
  <si>
    <t xml:space="preserve">HR - Kroatien </t>
  </si>
  <si>
    <t>HR - Croatia</t>
  </si>
  <si>
    <t>Y010 - Rechtsabteilung</t>
  </si>
  <si>
    <t>Y010 - Legal department</t>
  </si>
  <si>
    <t>57 - IL-IC</t>
  </si>
  <si>
    <t>99 - Vollkalender ohne Feiertage und Ferien</t>
  </si>
  <si>
    <t>99 - International</t>
  </si>
  <si>
    <t>ZH - Hauptlaufspediteur</t>
  </si>
  <si>
    <t>ZH - Main shipper</t>
  </si>
  <si>
    <t>AR - Argentinien</t>
  </si>
  <si>
    <t>AR - Argentina</t>
  </si>
  <si>
    <t xml:space="preserve">LV - Lettland </t>
  </si>
  <si>
    <t>LV - Latvia</t>
  </si>
  <si>
    <t>Contact person Accounting</t>
  </si>
  <si>
    <t>58 - IL-IC50</t>
  </si>
  <si>
    <t>AJ - Absprachen jährlich</t>
  </si>
  <si>
    <t>AJ - Annual arrangement</t>
  </si>
  <si>
    <t>AS - Samoa,American</t>
  </si>
  <si>
    <t xml:space="preserve">LT - Litauen </t>
  </si>
  <si>
    <t>LT - Lithuania</t>
  </si>
  <si>
    <t>59 - IL-VilMill</t>
  </si>
  <si>
    <t>AK - Absprachen jährlich zum Ersten</t>
  </si>
  <si>
    <t>AK - Annual arrangement at the start of the year</t>
  </si>
  <si>
    <t>AT - Österreich</t>
  </si>
  <si>
    <t>AT - Austria</t>
  </si>
  <si>
    <t xml:space="preserve">LU - Luxemburg </t>
  </si>
  <si>
    <t>LU - Luxembourg</t>
  </si>
  <si>
    <t>69 - Ausland Handel</t>
  </si>
  <si>
    <t>69 - Export / trading</t>
  </si>
  <si>
    <t>AM - Abrechnung monatlich</t>
  </si>
  <si>
    <t>AM - Monthly settlement</t>
  </si>
  <si>
    <t>AU - Australien</t>
  </si>
  <si>
    <t>AU - Australia</t>
  </si>
  <si>
    <t xml:space="preserve">MT - Malta </t>
  </si>
  <si>
    <t>MT - Malta</t>
  </si>
  <si>
    <t>70 - On-Line Handel</t>
  </si>
  <si>
    <t>70 - On-Line Retail</t>
  </si>
  <si>
    <t>AN - Absprachen monatlich zum Ersten</t>
  </si>
  <si>
    <t>AN - Monthly arrangement at the start of the month</t>
  </si>
  <si>
    <t>AW - Aruba</t>
  </si>
  <si>
    <t xml:space="preserve">NL - Niederlande </t>
  </si>
  <si>
    <t>NL - Netherlands</t>
  </si>
  <si>
    <t>71 - Grosshandel</t>
  </si>
  <si>
    <t>71 - whole sale</t>
  </si>
  <si>
    <t>AO - Absprachen Montags und Freitags</t>
  </si>
  <si>
    <t>AO - Arrangement Mondays and Fridays</t>
  </si>
  <si>
    <t>AZ - Aserbaidschan</t>
  </si>
  <si>
    <t>AZ - Azerbaijan</t>
  </si>
  <si>
    <t xml:space="preserve">AT - Österreich </t>
  </si>
  <si>
    <t>72 - Atelier</t>
  </si>
  <si>
    <t>72 - studio</t>
  </si>
  <si>
    <t>AR - Fabrikkalender Argentinien Standard</t>
  </si>
  <si>
    <t>AR - Factory Calendar - Argentina</t>
  </si>
  <si>
    <t>BA - Bosnien-Herz.</t>
  </si>
  <si>
    <t>BA - Bosnia-Herz.</t>
  </si>
  <si>
    <t xml:space="preserve">PL - Polen </t>
  </si>
  <si>
    <t>PL - Poland</t>
  </si>
  <si>
    <t>73 - Verlage/Medien</t>
  </si>
  <si>
    <t>73 - Public/Media</t>
  </si>
  <si>
    <t>AT - Fabrikkalender Österreich Standard</t>
  </si>
  <si>
    <t>AT - Factory calendar Austria standard</t>
  </si>
  <si>
    <t>BB - Barbados</t>
  </si>
  <si>
    <t xml:space="preserve">PT - Portugal </t>
  </si>
  <si>
    <t>PT - Portugal</t>
  </si>
  <si>
    <t>74 - Koop Partner</t>
  </si>
  <si>
    <t>74 - Partner</t>
  </si>
  <si>
    <t>AU - Fabrikkalender Australien Standard</t>
  </si>
  <si>
    <t>AU - Factory calendar Australia standard</t>
  </si>
  <si>
    <t>BD - Bangladesh</t>
  </si>
  <si>
    <t xml:space="preserve">RO - Rumänien </t>
  </si>
  <si>
    <t>RO - Romania</t>
  </si>
  <si>
    <t>75 - Stickereien</t>
  </si>
  <si>
    <t>75 - stitchery</t>
  </si>
  <si>
    <t>B1 - Fabrikkalender Brasilien (Jacarei)</t>
  </si>
  <si>
    <t>B1 - Factory calendar Brazil (Jacarei)</t>
  </si>
  <si>
    <t>BE - Belgien</t>
  </si>
  <si>
    <t xml:space="preserve">SE - Schweden </t>
  </si>
  <si>
    <t>SE - Sweden</t>
  </si>
  <si>
    <t>76 - Quilten/Patchen/Crea</t>
  </si>
  <si>
    <t>B2 - Fabrikkalender Brasilien (Novo Hamburgo)</t>
  </si>
  <si>
    <t>B2 - Factory calendar Brazil (Novo Hamburgo)</t>
  </si>
  <si>
    <t>BF - Burkina-Faso</t>
  </si>
  <si>
    <t xml:space="preserve">SK - Slowakei </t>
  </si>
  <si>
    <t>SK - Slovakia</t>
  </si>
  <si>
    <t>77 - EZH/Kaufhäuser</t>
  </si>
  <si>
    <t>77 - Retail Shops</t>
  </si>
  <si>
    <t>BE - Fabrikkalender Belgien Standard</t>
  </si>
  <si>
    <t>BE - Factory calendar Belgium standard</t>
  </si>
  <si>
    <t>BG - Bulgarien</t>
  </si>
  <si>
    <t xml:space="preserve">SI - Slowenien </t>
  </si>
  <si>
    <t>SI - Slovenia</t>
  </si>
  <si>
    <t>BR - Factory Calender Brazil</t>
  </si>
  <si>
    <t>BR - Factory calendar Brazil</t>
  </si>
  <si>
    <t>BH - Bahrain</t>
  </si>
  <si>
    <t xml:space="preserve">ES - Spanien </t>
  </si>
  <si>
    <t>79 - Raumausstat.</t>
  </si>
  <si>
    <t>79 - room setup</t>
  </si>
  <si>
    <t>CA - Fabrikkalender Kanada Standard</t>
  </si>
  <si>
    <t>CA - Factory calendar Canada standard</t>
  </si>
  <si>
    <t>BI - Burundi</t>
  </si>
  <si>
    <t xml:space="preserve">CZ - Tschech. Rep. </t>
  </si>
  <si>
    <t>CZ - Czech Republic</t>
  </si>
  <si>
    <t>7T - Other SL</t>
  </si>
  <si>
    <t>CH - Fabrikkalender Schweiz Standard</t>
  </si>
  <si>
    <t>CH - Factory calendar Switzerland standard</t>
  </si>
  <si>
    <t>BJ - Benin</t>
  </si>
  <si>
    <t xml:space="preserve">HU - Ungarn </t>
  </si>
  <si>
    <t>HU - Hungary</t>
  </si>
  <si>
    <t>80 - Schulen</t>
  </si>
  <si>
    <t>80 - Schools</t>
  </si>
  <si>
    <t>CN - Fabrikkalender China</t>
  </si>
  <si>
    <t>CN - Factory calendar China</t>
  </si>
  <si>
    <t>BM - Bermuda</t>
  </si>
  <si>
    <t xml:space="preserve">GB - United Kingdom </t>
  </si>
  <si>
    <t>GB - United Kingdom</t>
  </si>
  <si>
    <t>A2 - Suits,Jackets,Blaz</t>
  </si>
  <si>
    <t>CZ - Fabrikkalender Tschechische Republik Standard</t>
  </si>
  <si>
    <t>CZ - Factory calendar Czech Republic standard</t>
  </si>
  <si>
    <t>BN - Brunei Darussal</t>
  </si>
  <si>
    <t>BN - Brunei Dar-es-S</t>
  </si>
  <si>
    <t xml:space="preserve">CY - Zypern </t>
  </si>
  <si>
    <t>CY - Cyprus</t>
  </si>
  <si>
    <t>A4 - Rainwear</t>
  </si>
  <si>
    <t>DK - Fabrikkalender Dänemark</t>
  </si>
  <si>
    <t>DK - Factory calendar Denmark</t>
  </si>
  <si>
    <t>BO - Bolivien</t>
  </si>
  <si>
    <t>BO - Bolivia</t>
  </si>
  <si>
    <t>A5 - Uniforms (not school</t>
  </si>
  <si>
    <t>E1 - Fabrikkalender Spanien - Madrid</t>
  </si>
  <si>
    <t>E1 - Factory calendar Spain - Madrid</t>
  </si>
  <si>
    <t>BR - Brasilien</t>
  </si>
  <si>
    <t>BR - Brazil</t>
  </si>
  <si>
    <t>A6 - Shirts (knitted)</t>
  </si>
  <si>
    <t>E2 - Fabrikkalender Spanien - Catalunya</t>
  </si>
  <si>
    <t>BS - Bahamas</t>
  </si>
  <si>
    <t>A8 - Formal Shirts</t>
  </si>
  <si>
    <t>EL - Fabrikkalender Frankreich -Elsass</t>
  </si>
  <si>
    <t>EL - Factory calendar France - Alsace</t>
  </si>
  <si>
    <t>BT - Bhutan</t>
  </si>
  <si>
    <t>B1 - Skirts/Slacks</t>
  </si>
  <si>
    <t>ES - Fabrikkalender Spanien Standard</t>
  </si>
  <si>
    <t>BV - Bouvet Inseln</t>
  </si>
  <si>
    <t>BV - Bouvet Island</t>
  </si>
  <si>
    <t>B2 - Coats and Suits</t>
  </si>
  <si>
    <t>EU - Fabrikkalender Europäische Währungsunion</t>
  </si>
  <si>
    <t>EU - European Currency Union (ECU)</t>
  </si>
  <si>
    <t>BW - Botsuana</t>
  </si>
  <si>
    <t>BW - Botswana</t>
  </si>
  <si>
    <t>B3 - Leisurewear(Trouser</t>
  </si>
  <si>
    <t>FI - Fabrikkalendar Finnland</t>
  </si>
  <si>
    <t>FI - Factory calendar Finland</t>
  </si>
  <si>
    <t>BY - Weissrussland</t>
  </si>
  <si>
    <t>BY - Belarus</t>
  </si>
  <si>
    <t>B5 - Blouses and Dresses</t>
  </si>
  <si>
    <t>FR - Fabrikkalender Frankreich Standard</t>
  </si>
  <si>
    <t>FR - Factory calendar France standard</t>
  </si>
  <si>
    <t>BZ - Belize</t>
  </si>
  <si>
    <t>B6 - Hats-Belts,Gloves</t>
  </si>
  <si>
    <t>G1 - Fabrikkalender Grossbritannien 7 Tage ohne Feiertagsarbeit</t>
  </si>
  <si>
    <t>GB - Factory calendar Great Britain standard</t>
  </si>
  <si>
    <t>CA - Kanada</t>
  </si>
  <si>
    <t>CA - Canada</t>
  </si>
  <si>
    <t>B8 - Soft Furnishings</t>
  </si>
  <si>
    <t>GB - Fabrikkalender Großbritannien Standard</t>
  </si>
  <si>
    <t>HK - Factory Calendar HongKong</t>
  </si>
  <si>
    <t>CC - Kokosinseln</t>
  </si>
  <si>
    <t>CC - Coconut Islands</t>
  </si>
  <si>
    <t>C1 - Furniture</t>
  </si>
  <si>
    <t>HK - Fabrikkalender HongKong</t>
  </si>
  <si>
    <t>HU - Factory calendar Hungary</t>
  </si>
  <si>
    <t>CD - Dem. Rep. Kongo</t>
  </si>
  <si>
    <t>CF - Central Afr.Rep</t>
  </si>
  <si>
    <t>C5 - Workwear</t>
  </si>
  <si>
    <t>HU - Fabrikkalender Ungarn</t>
  </si>
  <si>
    <t>IE - Factory calendar Republic of Ireland</t>
  </si>
  <si>
    <t>CF - Zentralaf. Rep.</t>
  </si>
  <si>
    <t>CG - Congo</t>
  </si>
  <si>
    <t>C6 - Embroidery</t>
  </si>
  <si>
    <t>IE - Fabrikkalender Republic of Ireland</t>
  </si>
  <si>
    <t>IT - Factory calendar Italy standard</t>
  </si>
  <si>
    <t>CG - Kongo</t>
  </si>
  <si>
    <t>CH - Switzerland</t>
  </si>
  <si>
    <t>C7 - Not known</t>
  </si>
  <si>
    <t>IT - Fabrikkalender Italien Standard</t>
  </si>
  <si>
    <t>JP - Factory calendar Japan standard</t>
  </si>
  <si>
    <t>CH - Schweiz</t>
  </si>
  <si>
    <t>CI - Ivory Coast</t>
  </si>
  <si>
    <t>D4 - Retail</t>
  </si>
  <si>
    <t>JP - Fabrikkalender Japan Standard</t>
  </si>
  <si>
    <t>K7 - South Korea (7 working days, no holidays)</t>
  </si>
  <si>
    <t>CI - Elfenbeinküste</t>
  </si>
  <si>
    <t>CK - Cook Islands</t>
  </si>
  <si>
    <t>D5 - Wholesale</t>
  </si>
  <si>
    <t>K7 - Fabrikkalender KR (7 Arbeitstage, keine Feiertage)</t>
  </si>
  <si>
    <t>KR - South Korea</t>
  </si>
  <si>
    <t>CK - Cookinseln</t>
  </si>
  <si>
    <t>CL - Chile</t>
  </si>
  <si>
    <t>D9 - Supermarket</t>
  </si>
  <si>
    <t>KR - Fabrikkalender KR</t>
  </si>
  <si>
    <t>MX - Factory calendar Mexico</t>
  </si>
  <si>
    <t>CM - Cameroon</t>
  </si>
  <si>
    <t>F9 - Autom. Manufacturing</t>
  </si>
  <si>
    <t>MX - Fabrikkalendar Mexiko</t>
  </si>
  <si>
    <t>MY - Malaysia</t>
  </si>
  <si>
    <t>CM - Kamerun</t>
  </si>
  <si>
    <t>CN - P.R. China</t>
  </si>
  <si>
    <t>L0 - Accessories</t>
  </si>
  <si>
    <t>MY - Fabrikkalender Malaysia</t>
  </si>
  <si>
    <t>NL - Factory calendar Netherlands standard</t>
  </si>
  <si>
    <t>CN - VR China</t>
  </si>
  <si>
    <t>CO - Colombia</t>
  </si>
  <si>
    <t>L1 - Ladies - classic</t>
  </si>
  <si>
    <t>NL - Fabrikkalender Niederlande Standard</t>
  </si>
  <si>
    <t>NO - Factory calendar Norway</t>
  </si>
  <si>
    <t>CO - Kolumbien</t>
  </si>
  <si>
    <t>CR - Costa Rica</t>
  </si>
  <si>
    <t>L2 - Ladies-Young Fash/Je</t>
  </si>
  <si>
    <t>NO - Fabrikkalender Norgwegen</t>
  </si>
  <si>
    <t>NZ - Factory calendar New Zealand</t>
  </si>
  <si>
    <t>CU - Cuba</t>
  </si>
  <si>
    <t>L3 - Blouses/Dresses</t>
  </si>
  <si>
    <t>NZ - Fabrikkalender Neuseeland</t>
  </si>
  <si>
    <t>CU - Kuba</t>
  </si>
  <si>
    <t>CV - Cape Verde</t>
  </si>
  <si>
    <t>L4 - Skirst,slacks,trou</t>
  </si>
  <si>
    <t>PL - Fabrikkalender Polen</t>
  </si>
  <si>
    <t>PT - Factory calendar Portugal</t>
  </si>
  <si>
    <t>CV - Kap Verde</t>
  </si>
  <si>
    <t>CX - Christmas Islnd</t>
  </si>
  <si>
    <t>L5 - Outerwear/rainwear</t>
  </si>
  <si>
    <t>PT - Fabrikkalender Portugal</t>
  </si>
  <si>
    <t>RU - Factory calendar Russian Federation</t>
  </si>
  <si>
    <t>CX - Weihnachtsinsel</t>
  </si>
  <si>
    <t>L6 - Corporate Wear/Unifo</t>
  </si>
  <si>
    <t>RU - Fabrikkalender Russische Foederation</t>
  </si>
  <si>
    <t>SE - Factory calendar Sweden</t>
  </si>
  <si>
    <t>CY - Zypern</t>
  </si>
  <si>
    <t>L7 - Childrenwear</t>
  </si>
  <si>
    <t>SE - Fabrikkalender Schweden</t>
  </si>
  <si>
    <t>SG - Factory calendar Singapore</t>
  </si>
  <si>
    <t>CZ - Tschech. Rep.</t>
  </si>
  <si>
    <t>DE - Germany</t>
  </si>
  <si>
    <t>L8 - Embroidery/Muli-head</t>
  </si>
  <si>
    <t>SG - Fabrikkalender Singapur</t>
  </si>
  <si>
    <t>SK - Slovak Republic</t>
  </si>
  <si>
    <t>DJ - Djibouti</t>
  </si>
  <si>
    <t>L9 - Leatherwear/Fur</t>
  </si>
  <si>
    <t>SK - Fabrikkalender Slowakei</t>
  </si>
  <si>
    <t>TH - Thailand</t>
  </si>
  <si>
    <t>DJ - Dschibuti</t>
  </si>
  <si>
    <t>M1 - Menswear - classic</t>
  </si>
  <si>
    <t>TH - Fabrikkalender Thailand</t>
  </si>
  <si>
    <t>TR - Turkey</t>
  </si>
  <si>
    <t>DK - Dänemark</t>
  </si>
  <si>
    <t>DM - Dominica</t>
  </si>
  <si>
    <t>M2 - Menswear - casual</t>
  </si>
  <si>
    <t>TR - Fabrikkalender Türkei</t>
  </si>
  <si>
    <t>TW - Factory calendar Taiwan</t>
  </si>
  <si>
    <t>DO - Dominican Rep.</t>
  </si>
  <si>
    <t>M3 - Leatherwear/Fur</t>
  </si>
  <si>
    <t>TW - Fabrikkalender Taiwan</t>
  </si>
  <si>
    <t>U7 - Factory calendar Guatemala</t>
  </si>
  <si>
    <t>DO - Dominik. Rep.</t>
  </si>
  <si>
    <t>DZ - Algeria</t>
  </si>
  <si>
    <t>M4 - Trousers</t>
  </si>
  <si>
    <t>U7 - Fabrikkalender Guatemala.</t>
  </si>
  <si>
    <t>US - Factory calendar USA standard</t>
  </si>
  <si>
    <t>DZ - Algerien</t>
  </si>
  <si>
    <t>EC - Ecuador</t>
  </si>
  <si>
    <t>M5 - Outerwear/Rainwear</t>
  </si>
  <si>
    <t>US - Fabrikkalender USA</t>
  </si>
  <si>
    <t>VE - Factory calendar Venezuela</t>
  </si>
  <si>
    <t>M6 - Corporate Wear/Unifo</t>
  </si>
  <si>
    <t>VE - Fabrikkalender Venezuela</t>
  </si>
  <si>
    <t>W6 - Germany (Baden-Württemberg) with 6 w.days (Mo-Sa)</t>
  </si>
  <si>
    <t>EE - Estland</t>
  </si>
  <si>
    <t>EG - Egypt</t>
  </si>
  <si>
    <t>P1 - Protective wear</t>
  </si>
  <si>
    <t>W6 - Deutschland (Baden-Württ) mit 6 A.Tagen (Mo-Sa)</t>
  </si>
  <si>
    <t>W7 - Germany (Baden-Württemberg) with 7 w.days (Mo-Sa)</t>
  </si>
  <si>
    <t>EG - Ägypten</t>
  </si>
  <si>
    <t>EH - West Sahara</t>
  </si>
  <si>
    <t>P2 - Active Sportswear</t>
  </si>
  <si>
    <t>W7 - Deutschland (Baden-Württ) mit 7 A.Tagen (Mo-Sa)</t>
  </si>
  <si>
    <t>W8 - Germany - All days are workdays</t>
  </si>
  <si>
    <t>ER - Eritrea</t>
  </si>
  <si>
    <t>P3 - Intimate Apparel</t>
  </si>
  <si>
    <t>W8 - Deutschland - Alle Tage sind Arbeitstage</t>
  </si>
  <si>
    <t>Y1</t>
  </si>
  <si>
    <t>P4 - Embroidery/Schiffli</t>
  </si>
  <si>
    <t>Y1 - Abrechnung halbmonatlich</t>
  </si>
  <si>
    <t>ZA - Factory calendar South Africa</t>
  </si>
  <si>
    <t>ES - Spanien</t>
  </si>
  <si>
    <t>ET - Ethiopia</t>
  </si>
  <si>
    <t>P5 - Firefighters</t>
  </si>
  <si>
    <t>ZA - Fabrikkalender Südafrika</t>
  </si>
  <si>
    <t>ZR - 10 - day payment</t>
  </si>
  <si>
    <t>ET - Äthiopien</t>
  </si>
  <si>
    <t>R1 - Wholesalers</t>
  </si>
  <si>
    <t>ZR - Regulierung dekadisch</t>
  </si>
  <si>
    <t>FI - Finnland</t>
  </si>
  <si>
    <t>FJ - Fiji</t>
  </si>
  <si>
    <t>R2 - Store Wholesalers</t>
  </si>
  <si>
    <t>FJ - Fidschi</t>
  </si>
  <si>
    <t>FK - Falkland Islnds</t>
  </si>
  <si>
    <t>R3 - Package-Dealers</t>
  </si>
  <si>
    <t>FK - Falklandinseln</t>
  </si>
  <si>
    <t>FM - Micronesia</t>
  </si>
  <si>
    <t>R5 - Non-IL sales</t>
  </si>
  <si>
    <t>FM - Micronesien</t>
  </si>
  <si>
    <t>FO - Faeroe</t>
  </si>
  <si>
    <t>S1 - Formal</t>
  </si>
  <si>
    <t>FO - Färöer</t>
  </si>
  <si>
    <t>S2 - Casual</t>
  </si>
  <si>
    <t>GA - Gabon</t>
  </si>
  <si>
    <t>T1 - Technical applicatio</t>
  </si>
  <si>
    <t>GA - Gabun</t>
  </si>
  <si>
    <t>T2 - Fusing machines</t>
  </si>
  <si>
    <t>GD - Grenada</t>
  </si>
  <si>
    <t>T3 - Converters</t>
  </si>
  <si>
    <t>GE - Georgia</t>
  </si>
  <si>
    <t>T4 - Hometextiles</t>
  </si>
  <si>
    <t>GE - Georgien</t>
  </si>
  <si>
    <t>GF - French Guinea</t>
  </si>
  <si>
    <t>V1 - Industry</t>
  </si>
  <si>
    <t>GH - Ghana</t>
  </si>
  <si>
    <t>V2 - Wholesalers</t>
  </si>
  <si>
    <t>GI - Gibraltar</t>
  </si>
  <si>
    <t>V3 - Taylors</t>
  </si>
  <si>
    <t>GL - Grönland</t>
  </si>
  <si>
    <t>GL - Greenland</t>
  </si>
  <si>
    <t>V6 - Retail</t>
  </si>
  <si>
    <t>GM - Gambia</t>
  </si>
  <si>
    <t>V7 - Theater</t>
  </si>
  <si>
    <t>GN - Guinea</t>
  </si>
  <si>
    <t>V8 - Schools</t>
  </si>
  <si>
    <t>GQ - Äquatorialguine</t>
  </si>
  <si>
    <t>GP - Guadeloupe</t>
  </si>
  <si>
    <t>GR - Griechenland</t>
  </si>
  <si>
    <t>GQ - Equatorial Guin</t>
  </si>
  <si>
    <t>GS - S. Sandwich Ins</t>
  </si>
  <si>
    <t>GT - Guatemala</t>
  </si>
  <si>
    <t>GS - Sth Sandwich Is</t>
  </si>
  <si>
    <t>GU - Guam</t>
  </si>
  <si>
    <t>GW - Guinea-Bissau</t>
  </si>
  <si>
    <t>GY - Guyana</t>
  </si>
  <si>
    <t>HK - Hongkong</t>
  </si>
  <si>
    <t>HM - Heard/McDon.Ins</t>
  </si>
  <si>
    <t>HK - Hong Kong</t>
  </si>
  <si>
    <t>HN - Honduras</t>
  </si>
  <si>
    <t>HM - Heard/McDon.Isl</t>
  </si>
  <si>
    <t>HR - Kroatien</t>
  </si>
  <si>
    <t>HT - Haiti</t>
  </si>
  <si>
    <t>HU - Ungarn</t>
  </si>
  <si>
    <t>ID - Indonesien</t>
  </si>
  <si>
    <t>IE - Irland</t>
  </si>
  <si>
    <t>ID - Indonesia</t>
  </si>
  <si>
    <t>IL - Israel</t>
  </si>
  <si>
    <t>IN - Indien</t>
  </si>
  <si>
    <t>IO - Brit.Geb.Ind.Oz</t>
  </si>
  <si>
    <t>IN - India</t>
  </si>
  <si>
    <t>IQ - Irak</t>
  </si>
  <si>
    <t>IO - Brit.Ind.Oc.Ter</t>
  </si>
  <si>
    <t>IR - Iran</t>
  </si>
  <si>
    <t>IQ - Iraq</t>
  </si>
  <si>
    <t>IS - Island</t>
  </si>
  <si>
    <t>IT - Italien</t>
  </si>
  <si>
    <t>IS - Iceland</t>
  </si>
  <si>
    <t>JE - Jersey</t>
  </si>
  <si>
    <t>JM - Jamaika</t>
  </si>
  <si>
    <t>JM - Jamaica</t>
  </si>
  <si>
    <t>JO - Jordanien</t>
  </si>
  <si>
    <t>JO - Jordan</t>
  </si>
  <si>
    <t>JP - Japan</t>
  </si>
  <si>
    <t>KE - Kenia</t>
  </si>
  <si>
    <t>KE - Kenya</t>
  </si>
  <si>
    <t>KG - Kirgistan</t>
  </si>
  <si>
    <t>KG - Kirghistan</t>
  </si>
  <si>
    <t>KH - Kambodscha</t>
  </si>
  <si>
    <t>KH - Cambodia</t>
  </si>
  <si>
    <t>KI - Kiribati</t>
  </si>
  <si>
    <t>KM - Komoren</t>
  </si>
  <si>
    <t>KM - Comoro</t>
  </si>
  <si>
    <t>KN - St.Kitts&amp;Nevis</t>
  </si>
  <si>
    <t>KN - St Kitts&amp;Nevis</t>
  </si>
  <si>
    <t>KP - Nordkorea</t>
  </si>
  <si>
    <t>KP - North Korea</t>
  </si>
  <si>
    <t>KR - Republik Korea</t>
  </si>
  <si>
    <t>KR - Republic Korea</t>
  </si>
  <si>
    <t>KW - Kuwait</t>
  </si>
  <si>
    <t>KY - Kaimaninseln</t>
  </si>
  <si>
    <t>KY - Cayman Islands</t>
  </si>
  <si>
    <t>KZ - Kasachstan</t>
  </si>
  <si>
    <t>KZ - Kazakhstan</t>
  </si>
  <si>
    <t>LA - Laos</t>
  </si>
  <si>
    <t>LB - Libanon</t>
  </si>
  <si>
    <t>LB - Lebanon</t>
  </si>
  <si>
    <t>LC - St. Lucia</t>
  </si>
  <si>
    <t>LI - Liechtenstein</t>
  </si>
  <si>
    <t>LK - Sri Lanka</t>
  </si>
  <si>
    <t>LR - Liberia</t>
  </si>
  <si>
    <t>LS - Lesotho</t>
  </si>
  <si>
    <t>LU - Luxemburg</t>
  </si>
  <si>
    <t>LV - Lettland</t>
  </si>
  <si>
    <t>LY - Libyen</t>
  </si>
  <si>
    <t>LY - Libya</t>
  </si>
  <si>
    <t>MA - Marokko</t>
  </si>
  <si>
    <t>MA - Morocco</t>
  </si>
  <si>
    <t>MD - Moldau</t>
  </si>
  <si>
    <t>MC - Monaco</t>
  </si>
  <si>
    <t>ME - Montenegro</t>
  </si>
  <si>
    <t>MD - Moldavia</t>
  </si>
  <si>
    <t>MG - Madagaskar</t>
  </si>
  <si>
    <t>MG - Madagascar</t>
  </si>
  <si>
    <t>MH - Marshall-Insel</t>
  </si>
  <si>
    <t>MH - Marshall Islnds</t>
  </si>
  <si>
    <t>MK - Nordmazedonien</t>
  </si>
  <si>
    <t>MK - North Macedonia</t>
  </si>
  <si>
    <t>ML - Mali</t>
  </si>
  <si>
    <t>MM - Myanmar</t>
  </si>
  <si>
    <t>MN - Mongolei</t>
  </si>
  <si>
    <t>MN - Mongolia</t>
  </si>
  <si>
    <t>MO - Macau</t>
  </si>
  <si>
    <t>MP - N.Mariana Insel</t>
  </si>
  <si>
    <t>MP - N.Mariana Islnd</t>
  </si>
  <si>
    <t>MR - Mauretanien</t>
  </si>
  <si>
    <t>MQ - Martinique</t>
  </si>
  <si>
    <t>MS - Montserrat</t>
  </si>
  <si>
    <t>MR - Mauretania</t>
  </si>
  <si>
    <t>MU - Mauritius</t>
  </si>
  <si>
    <t>MV - Malediven</t>
  </si>
  <si>
    <t>MW - Malawi</t>
  </si>
  <si>
    <t>MV - Maldives</t>
  </si>
  <si>
    <t>MX - Mexiko</t>
  </si>
  <si>
    <t>MX - Mexico</t>
  </si>
  <si>
    <t>MZ - Mosambik</t>
  </si>
  <si>
    <t>NA - Namibia</t>
  </si>
  <si>
    <t>MZ - Mozambique</t>
  </si>
  <si>
    <t>NC - Neukaledonien</t>
  </si>
  <si>
    <t>NE - Niger</t>
  </si>
  <si>
    <t>NC - New Caledonia</t>
  </si>
  <si>
    <t>NF - Norfolkinseln</t>
  </si>
  <si>
    <t>NG - Nigeria</t>
  </si>
  <si>
    <t>NF - Norfolk Island</t>
  </si>
  <si>
    <t>NI - Nicaragua</t>
  </si>
  <si>
    <t>NL - Niederlande</t>
  </si>
  <si>
    <t>NO - Norwegen</t>
  </si>
  <si>
    <t>NP - Nepal</t>
  </si>
  <si>
    <t>NO - Norway</t>
  </si>
  <si>
    <t>NR - Nauru</t>
  </si>
  <si>
    <t>NU - Niue-Inseln</t>
  </si>
  <si>
    <t>NZ - Neuseeland</t>
  </si>
  <si>
    <t>NU - Niue Islands</t>
  </si>
  <si>
    <t>OM - Oman</t>
  </si>
  <si>
    <t>NZ - New Zealand</t>
  </si>
  <si>
    <t>PA - Panama</t>
  </si>
  <si>
    <t>PE - Peru</t>
  </si>
  <si>
    <t>PF - FranzPolynesien</t>
  </si>
  <si>
    <t>PG - Papua-Neuguinea</t>
  </si>
  <si>
    <t>PF - Frenc.Polynesia</t>
  </si>
  <si>
    <t>PH - Philippinen</t>
  </si>
  <si>
    <t>PG - Pap. New Guinea</t>
  </si>
  <si>
    <t>PK - Pakistan</t>
  </si>
  <si>
    <t>PH - Philippines</t>
  </si>
  <si>
    <t>PL - Polen</t>
  </si>
  <si>
    <t>PM - StPier.,Miquel.</t>
  </si>
  <si>
    <t>PN - Pitcairn Inseln</t>
  </si>
  <si>
    <t>PM - St.Pier,Miquel.</t>
  </si>
  <si>
    <t>PS - Gazast/ Westjor</t>
  </si>
  <si>
    <t>PN - Pitcairn Islnds</t>
  </si>
  <si>
    <t>PR - Puerto Rico</t>
  </si>
  <si>
    <t>PW - Palau</t>
  </si>
  <si>
    <t>PS - Puerto Rico</t>
  </si>
  <si>
    <t>PY - Paraguay</t>
  </si>
  <si>
    <t>QA - Qatar</t>
  </si>
  <si>
    <t>QU - n.erm.Länder/Ge</t>
  </si>
  <si>
    <t>RO - Rumänien</t>
  </si>
  <si>
    <t>RU - Russische Foed.</t>
  </si>
  <si>
    <t>RE - Reunion</t>
  </si>
  <si>
    <t>RW - Ruanda</t>
  </si>
  <si>
    <t>SA - Saudi-Arabien</t>
  </si>
  <si>
    <t>RU - Russian Fed.</t>
  </si>
  <si>
    <t>SB - Salomonen</t>
  </si>
  <si>
    <t>RW - Rwanda</t>
  </si>
  <si>
    <t>SC - Seschellen</t>
  </si>
  <si>
    <t>SA - Saudi Arabia</t>
  </si>
  <si>
    <t>SD - Sudan</t>
  </si>
  <si>
    <t>SB - Solomon Islands</t>
  </si>
  <si>
    <t>SE - Schweden</t>
  </si>
  <si>
    <t>SC - Seychelles</t>
  </si>
  <si>
    <t>SG - Singapur</t>
  </si>
  <si>
    <t>SH - St. Helena</t>
  </si>
  <si>
    <t>SI - Slowenien</t>
  </si>
  <si>
    <t>SG - Singapore</t>
  </si>
  <si>
    <t>SK - Slowakei</t>
  </si>
  <si>
    <t>SL - Sierra Leone</t>
  </si>
  <si>
    <t>SM - San Marino</t>
  </si>
  <si>
    <t>SJ - Svalbard</t>
  </si>
  <si>
    <t>SN - Senegal</t>
  </si>
  <si>
    <t>SO - Somalia</t>
  </si>
  <si>
    <t>SR - Suriname</t>
  </si>
  <si>
    <t>ST - S.Tome,Principe</t>
  </si>
  <si>
    <t>SV - El Salvador</t>
  </si>
  <si>
    <t>SY - Syrien</t>
  </si>
  <si>
    <t>SZ - Swasiland</t>
  </si>
  <si>
    <t>TC - Turks-,Caicosin</t>
  </si>
  <si>
    <t>ST - stateless</t>
  </si>
  <si>
    <t>TD - Tschad</t>
  </si>
  <si>
    <t>TF - Südl.Terr.Frank</t>
  </si>
  <si>
    <t>SY - Syria</t>
  </si>
  <si>
    <t>TG - Togo</t>
  </si>
  <si>
    <t>SZ - Swaziland</t>
  </si>
  <si>
    <t>TC - Turksh Caicosin</t>
  </si>
  <si>
    <t>TJ - Tadschikistan</t>
  </si>
  <si>
    <t>TD - Chad</t>
  </si>
  <si>
    <t>TK - Tokelau-Inseln</t>
  </si>
  <si>
    <t>TF - Sth Terr. Franc</t>
  </si>
  <si>
    <t>TL - Timor-Leste</t>
  </si>
  <si>
    <t>TM - Turkmenistan</t>
  </si>
  <si>
    <t>TN - Tunesien</t>
  </si>
  <si>
    <t>TJ - Tadzhikistan</t>
  </si>
  <si>
    <t>TO - Tonga</t>
  </si>
  <si>
    <t>TK - Tokelau Islands</t>
  </si>
  <si>
    <t>TR - Türkei</t>
  </si>
  <si>
    <t>TT - Trinidad,Tobago</t>
  </si>
  <si>
    <t>TN - Tunisia</t>
  </si>
  <si>
    <t>TV - Tuvalu</t>
  </si>
  <si>
    <t>TW - Taiwan</t>
  </si>
  <si>
    <t>TP - East Timor</t>
  </si>
  <si>
    <t>TZ - Tansania</t>
  </si>
  <si>
    <t>UA - Ukraine</t>
  </si>
  <si>
    <t>UG - Uganda</t>
  </si>
  <si>
    <t>UM - Minor Outl.Ins.</t>
  </si>
  <si>
    <t>US - USA</t>
  </si>
  <si>
    <t>TZ - Tanzania</t>
  </si>
  <si>
    <t>UY - Uruguay</t>
  </si>
  <si>
    <t>UZ - Usbekistan</t>
  </si>
  <si>
    <t>VA - Vatikanstadt</t>
  </si>
  <si>
    <t>UM - Minor Outl.Isl.</t>
  </si>
  <si>
    <t>VC - St. Vincent</t>
  </si>
  <si>
    <t>VE - Venezuela</t>
  </si>
  <si>
    <t>VG - Brit.Jungferni.</t>
  </si>
  <si>
    <t>UZ - Uzbekistan</t>
  </si>
  <si>
    <t>VI - Amer.Jungferni.</t>
  </si>
  <si>
    <t>VA - Vatican City</t>
  </si>
  <si>
    <t>VN - Vietnam</t>
  </si>
  <si>
    <t>VU - Vanuatu</t>
  </si>
  <si>
    <t>WF - Wallis,Futuna</t>
  </si>
  <si>
    <t>VG - Brit.Virgin Is.</t>
  </si>
  <si>
    <t>WS - Westsamoa</t>
  </si>
  <si>
    <t>VI - Amer.Virgin Is.</t>
  </si>
  <si>
    <t>XC - Ceuta - ES</t>
  </si>
  <si>
    <t>XI - North. Ireland</t>
  </si>
  <si>
    <t>XK - Kosovo</t>
  </si>
  <si>
    <t>XL - Melilla</t>
  </si>
  <si>
    <t>WS - Western Samoa</t>
  </si>
  <si>
    <t>XS - Serbien</t>
  </si>
  <si>
    <t>YE - Jemen</t>
  </si>
  <si>
    <t>YT - Mayotte</t>
  </si>
  <si>
    <t>ZA - Südafrika</t>
  </si>
  <si>
    <t>XS - Serbia</t>
  </si>
  <si>
    <t>ZM - Sambia</t>
  </si>
  <si>
    <t>YE - Yemen</t>
  </si>
  <si>
    <t>ZW - Simbabwe</t>
  </si>
  <si>
    <t>YU - Yugoslavia</t>
  </si>
  <si>
    <t>ZA - South Africa</t>
  </si>
  <si>
    <t>ZM - Zambia</t>
  </si>
  <si>
    <t>ZR - Zaire</t>
  </si>
  <si>
    <t>ZW - Zimbabwe</t>
  </si>
  <si>
    <t>PL - Polish</t>
  </si>
  <si>
    <t>PL - Polnisch</t>
  </si>
  <si>
    <t>01 - high</t>
  </si>
  <si>
    <t>03FR - IL France</t>
  </si>
  <si>
    <t>E01 - Directo-1</t>
  </si>
  <si>
    <t>E5 - IL Mami</t>
  </si>
  <si>
    <t>0301 - Parets</t>
  </si>
  <si>
    <t>01 - Type / Stück / Länge (nur Exportkarton)</t>
  </si>
  <si>
    <t>06 - Additional Label (manual)</t>
  </si>
  <si>
    <t>3008</t>
  </si>
  <si>
    <t>Vencimiento 08 días</t>
  </si>
  <si>
    <t>-</t>
  </si>
  <si>
    <t>124150 - Dachser</t>
  </si>
  <si>
    <t>none</t>
  </si>
  <si>
    <t>02 - normal</t>
  </si>
  <si>
    <t>0316 - IL PT</t>
  </si>
  <si>
    <t>03PT - IL PT</t>
  </si>
  <si>
    <t>E02 - IL CAT / CAST (FLL)</t>
  </si>
  <si>
    <t>E6 - IL CI/INDUYCO</t>
  </si>
  <si>
    <t>AB - Spec.Transp./leaving</t>
  </si>
  <si>
    <t>0310 - Centro externo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</si>
  <si>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</si>
  <si>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</si>
  <si>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</si>
  <si>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</si>
  <si>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</si>
  <si>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</si>
  <si>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</si>
  <si>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</si>
  <si>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</si>
  <si>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</si>
  <si>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</si>
  <si>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</si>
  <si>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</si>
  <si>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</si>
  <si>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</si>
  <si>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</si>
  <si>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</si>
  <si>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</si>
  <si>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</si>
  <si>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</si>
  <si>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</si>
  <si>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</si>
  <si>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</si>
  <si>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</si>
  <si>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</si>
  <si>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</si>
  <si>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</si>
  <si>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</si>
  <si>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</si>
  <si>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</si>
  <si>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</si>
  <si>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</si>
  <si>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</si>
  <si>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</si>
  <si>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</si>
  <si>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</si>
  <si>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</si>
  <si>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</si>
  <si>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</si>
  <si>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</si>
  <si>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</si>
  <si>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</si>
  <si>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</si>
  <si>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</si>
  <si>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</si>
  <si>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</si>
  <si>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</si>
  <si>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</si>
  <si>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</si>
  <si>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</si>
  <si>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</si>
  <si>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</si>
  <si>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</si>
  <si>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</si>
  <si>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</si>
  <si>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</si>
  <si>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</si>
  <si>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</si>
  <si>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</si>
  <si>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</si>
  <si>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</si>
  <si>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</si>
  <si>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</si>
  <si>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</si>
  <si>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</si>
  <si>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</si>
  <si>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</si>
  <si>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</si>
  <si>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</si>
  <si>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</si>
  <si>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</si>
  <si>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</si>
  <si>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</si>
  <si>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</si>
  <si>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</si>
  <si>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</si>
  <si>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</si>
  <si>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</si>
  <si>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</si>
  <si>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</si>
  <si>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</si>
  <si>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</si>
  <si>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</si>
  <si>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</si>
  <si>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</si>
  <si>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</si>
  <si>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</si>
  <si>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</si>
  <si>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</si>
  <si>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</si>
  <si>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</si>
  <si>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</si>
  <si>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</si>
  <si>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</si>
  <si>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</si>
  <si>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</si>
  <si>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</si>
  <si>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</si>
  <si>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</si>
  <si>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</si>
  <si>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</si>
  <si>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</si>
  <si>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</si>
  <si>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</si>
  <si>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</si>
  <si>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</si>
  <si>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</si>
  <si>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</si>
  <si>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</si>
  <si>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</si>
  <si>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</si>
  <si>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</si>
  <si>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</si>
  <si>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</si>
  <si>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</si>
  <si>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</si>
  <si>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</si>
  <si>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</si>
  <si>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</si>
  <si>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</si>
  <si>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</si>
  <si>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</si>
  <si>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</si>
  <si>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</si>
  <si>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</si>
  <si>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</si>
  <si>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</si>
  <si>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</si>
  <si>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</si>
  <si>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</si>
  <si>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</si>
  <si>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</si>
  <si>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</si>
  <si>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</si>
  <si>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</si>
  <si>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</si>
  <si>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</si>
  <si>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</si>
  <si>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</si>
  <si>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</si>
  <si>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</si>
  <si>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</si>
  <si>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</si>
  <si>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</si>
  <si>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</si>
  <si>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</si>
  <si>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</si>
  <si>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</si>
  <si>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</si>
  <si>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</si>
  <si>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</si>
  <si>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</si>
  <si>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</si>
  <si>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</si>
  <si>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</si>
  <si>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</si>
  <si>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</si>
  <si>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</si>
  <si>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</si>
  <si>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</si>
  <si>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</si>
  <si>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</si>
  <si>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</si>
  <si>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</si>
  <si>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</si>
  <si>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</si>
  <si>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</si>
  <si>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</si>
  <si>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</si>
  <si>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</si>
  <si>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</si>
  <si>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</si>
  <si>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</si>
  <si>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</si>
  <si>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</si>
  <si>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</si>
  <si>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</si>
  <si>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</si>
  <si>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</si>
  <si>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</si>
  <si>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</si>
  <si>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</si>
  <si>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</si>
  <si>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</si>
  <si>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</si>
  <si>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</si>
  <si>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</si>
  <si>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</si>
  <si>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</si>
  <si>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</si>
  <si>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</si>
  <si>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</si>
  <si>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</si>
  <si>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</si>
  <si>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</si>
  <si>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</si>
  <si>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</si>
  <si>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</si>
  <si>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</si>
  <si>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</si>
  <si>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</si>
  <si>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</si>
  <si>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</si>
  <si>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</si>
  <si>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</si>
  <si>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</si>
  <si>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</si>
  <si>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</si>
  <si>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</si>
  <si>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</si>
  <si>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</si>
  <si>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</si>
  <si>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</si>
  <si>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</si>
  <si>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</si>
  <si>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</si>
  <si>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</si>
  <si>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</si>
  <si>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</si>
  <si>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</si>
  <si>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</si>
  <si>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</si>
  <si>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</si>
  <si>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</si>
  <si>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</si>
  <si>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</si>
  <si>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</si>
  <si>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</si>
  <si>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</si>
  <si>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</si>
  <si>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</si>
  <si>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</si>
  <si>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</si>
  <si>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</si>
  <si>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within 30 days Due net</t>
  </si>
  <si>
    <t>2505 - İstanbul Anadolu</t>
  </si>
  <si>
    <t>25G - Ercan Bakioglu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</si>
  <si>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</si>
  <si>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</si>
  <si>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</si>
  <si>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</si>
  <si>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</si>
  <si>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</si>
  <si>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</si>
  <si>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</si>
  <si>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</si>
  <si>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</si>
  <si>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</si>
  <si>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</si>
  <si>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</si>
  <si>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</si>
  <si>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</si>
  <si>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</si>
  <si>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</si>
  <si>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01 - hoch</t>
  </si>
  <si>
    <t>2902 - FPM Apparel</t>
  </si>
  <si>
    <t>01AL - Katalin Albert</t>
  </si>
  <si>
    <t>01 - Pricelist P1 IF</t>
  </si>
  <si>
    <t>Mindestbestellwert von EUR 150</t>
  </si>
  <si>
    <t>29HJ - Helmut Jeppener</t>
  </si>
  <si>
    <t>29BD - Bruno Doesegger</t>
  </si>
  <si>
    <t>29H - Nicole Obloj</t>
  </si>
  <si>
    <t>C1 - P1 Pricelist</t>
  </si>
  <si>
    <t>B7 - Preisliste Belgien</t>
  </si>
  <si>
    <t>03 - Markierungstext</t>
  </si>
  <si>
    <t>01 - IL-EtikettmitKunden-Artikelnummer</t>
  </si>
  <si>
    <t>0000000000 - 'Land'</t>
  </si>
  <si>
    <t>B003</t>
  </si>
  <si>
    <t>per Kreditkarte sofort netto</t>
  </si>
  <si>
    <t xml:space="preserve">124150 - Dachser </t>
  </si>
  <si>
    <t>130757 - Reiner</t>
  </si>
  <si>
    <t>531060 - B06 - P.Grossegoedinghaus</t>
  </si>
  <si>
    <t>589327 - TTM GmbH Internationale</t>
  </si>
  <si>
    <t>2972 - FV - IL WIA UK</t>
  </si>
  <si>
    <t>01BN - Frau Pantea</t>
  </si>
  <si>
    <t>02 - Pricelist P2 IF</t>
  </si>
  <si>
    <t>29NH - Brokamp</t>
  </si>
  <si>
    <t>29J - Helmut Jeppener</t>
  </si>
  <si>
    <t>C2 - P2 Pricelist</t>
  </si>
  <si>
    <t>01LS - Lavinia Garboan</t>
  </si>
  <si>
    <t>H12 - Katja Herbrand</t>
  </si>
  <si>
    <t>B8 - Preisliste Belgien</t>
  </si>
  <si>
    <t>AB - Abgeh. Integrator</t>
  </si>
  <si>
    <t>06 - Manuelles Zusatzetikett</t>
  </si>
  <si>
    <t>02 - KundenBestellung,Artikel,Kommi-Nr.</t>
  </si>
  <si>
    <t>B030</t>
  </si>
  <si>
    <t>Bankeinzug 30 Tage netto</t>
  </si>
  <si>
    <t xml:space="preserve">130322 - DHL Express </t>
  </si>
  <si>
    <t>650276 - Fiege Logistik Stiftung &amp; Co.</t>
  </si>
  <si>
    <t>99 - niedrig</t>
  </si>
  <si>
    <t>2973 - FV - IL WIA Polen</t>
  </si>
  <si>
    <t>29MK - Michael Kempkes</t>
  </si>
  <si>
    <t>01CD - Frau Coltov</t>
  </si>
  <si>
    <t>25C - Goekcen Oezdogdu</t>
  </si>
  <si>
    <t>03 - Pricelist P3 IF</t>
  </si>
  <si>
    <t>A11 - Hanghofer, Adolf</t>
  </si>
  <si>
    <t>C3 - P3 Pricelist</t>
  </si>
  <si>
    <t>01NF - Frau Fagarasan</t>
  </si>
  <si>
    <t>B9 - Preisliste Belgien</t>
  </si>
  <si>
    <t>03 - IL-EtikettmitFV-Artikelnummer</t>
  </si>
  <si>
    <t>0000000102 - Laufzeit 48 Std.</t>
  </si>
  <si>
    <t>B200</t>
  </si>
  <si>
    <t>Bankeinzug 10 Tage netto</t>
  </si>
  <si>
    <t xml:space="preserve">87506 - DHL Global Forwarding </t>
  </si>
  <si>
    <t>644681 - DE Gygli Sammeladresse</t>
  </si>
  <si>
    <t>2975 - FV - IL Werk Gygli</t>
  </si>
  <si>
    <t>01CU - Romeo Monea</t>
  </si>
  <si>
    <t>29SV - Andreas Fellenz</t>
  </si>
  <si>
    <t>C4 - P.01 Pricelist</t>
  </si>
  <si>
    <t>04AP - Frau Pintoc (HD)</t>
  </si>
  <si>
    <t>H66 - Hanghofer - AT</t>
  </si>
  <si>
    <t>N0 - IL Preisl. 0  Heidel</t>
  </si>
  <si>
    <t>AI - Abgeh. Luftfracht</t>
  </si>
  <si>
    <t>05 - Kd. Etikett Hugo Boss</t>
  </si>
  <si>
    <t>B203</t>
  </si>
  <si>
    <t>Bankeinzug 30 Tage 2 %</t>
  </si>
  <si>
    <t xml:space="preserve">Kein netto Fälligkeit </t>
  </si>
  <si>
    <t xml:space="preserve">130669 - Emons </t>
  </si>
  <si>
    <t>645961 - EN Gygli Sammeladresse Export</t>
  </si>
  <si>
    <t>29A - Anna Caixach</t>
  </si>
  <si>
    <t>09 - Pricelist Channel I</t>
  </si>
  <si>
    <t>C5 - P.02 Pricelist</t>
  </si>
  <si>
    <t>15BE - Gaetan Vanderdonckt</t>
  </si>
  <si>
    <t>H68 - Jeannette Knake</t>
  </si>
  <si>
    <t>N1 - IL Preisl. 1  Heidel</t>
  </si>
  <si>
    <t>AK - Abgeh. Seefracht</t>
  </si>
  <si>
    <t>B300</t>
  </si>
  <si>
    <t>per Bankeinzug 3 %</t>
  </si>
  <si>
    <t>Netto Tag 1</t>
  </si>
  <si>
    <t xml:space="preserve">80949 - Fedex </t>
  </si>
  <si>
    <t>29SE - Selim Evren</t>
  </si>
  <si>
    <t>10 - Pricelist Grandis I</t>
  </si>
  <si>
    <t>PL7 - Jolanta Stacherek</t>
  </si>
  <si>
    <t>H70 - Brinkmann, Anja</t>
  </si>
  <si>
    <t>N3 - IL Preisl. 3  Heidel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</si>
  <si>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</si>
  <si>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</si>
  <si>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</si>
  <si>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</si>
  <si>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</si>
  <si>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</si>
  <si>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>01FS - Herr Franz</t>
  </si>
  <si>
    <t>29E - Geoffrey Scott</t>
  </si>
  <si>
    <t>11 - Pricelist Kidiliz I</t>
  </si>
  <si>
    <t>29KH - Katja Herbrand</t>
  </si>
  <si>
    <t>B402</t>
  </si>
  <si>
    <t>Bankeinzug, 4%</t>
  </si>
  <si>
    <t xml:space="preserve">117906 - Jurisak </t>
  </si>
  <si>
    <t>CB - Container Beistellwa</t>
  </si>
  <si>
    <t>B410</t>
  </si>
  <si>
    <t>Bankeinzug 10 Tage, 4 %</t>
  </si>
  <si>
    <t xml:space="preserve">103555 - Kuehne + Nagel </t>
  </si>
  <si>
    <t>29G - Moira Asses</t>
  </si>
  <si>
    <t>N6 - IL Preisl. 6  Heidel</t>
  </si>
  <si>
    <t>EA - Eintreff. LKW</t>
  </si>
  <si>
    <t>per Vorauskasse netto</t>
  </si>
  <si>
    <t xml:space="preserve">121021 - Logwin </t>
  </si>
  <si>
    <t>N7 - IL Preisl. 7  Heidel</t>
  </si>
  <si>
    <t>K200</t>
  </si>
  <si>
    <t>per Vorauskasse, 2 % Skonto</t>
  </si>
  <si>
    <t xml:space="preserve">86941 - Panalpina </t>
  </si>
  <si>
    <t>01PA - Frau Budai</t>
  </si>
  <si>
    <t>29I - Sergej Haustov</t>
  </si>
  <si>
    <t>N8 - IL Preisl. 8  Heidel</t>
  </si>
  <si>
    <t>per Vorauskasse, 3 % Skonto</t>
  </si>
  <si>
    <t xml:space="preserve">62997 - Schenker </t>
  </si>
  <si>
    <t>01RA - Frau Arvatescu</t>
  </si>
  <si>
    <t>29L - Michael Kempkes</t>
  </si>
  <si>
    <t>N9 - IL Preisl. 9  Heidel</t>
  </si>
  <si>
    <t>K400</t>
  </si>
  <si>
    <t>per Vorauskasse, 4 % Skonto</t>
  </si>
  <si>
    <t>01WD - Wojtek Drążkowski</t>
  </si>
  <si>
    <t>410 - Garland Portugal</t>
  </si>
  <si>
    <t>IC - IL Preisl. Schweiz</t>
  </si>
  <si>
    <t>NI - IL Pl. IT Ret. Groß1</t>
  </si>
  <si>
    <t>K500</t>
  </si>
  <si>
    <t>per Vorauskasse mit  5 % Skonto</t>
  </si>
  <si>
    <t xml:space="preserve">142322 - TNT Türkei </t>
  </si>
  <si>
    <t>503 - Italien</t>
  </si>
  <si>
    <t>P1 - IL Preisl. 1  Bochum</t>
  </si>
  <si>
    <t>NJ - IL Pl. IT Ret. Groß2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</si>
  <si>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</si>
  <si>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</si>
  <si>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</si>
  <si>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</si>
  <si>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</si>
  <si>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</si>
  <si>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</si>
  <si>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</si>
  <si>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</si>
  <si>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</si>
  <si>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</si>
  <si>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</si>
  <si>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</si>
  <si>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</si>
  <si>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</si>
  <si>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</si>
  <si>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</si>
  <si>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</si>
  <si>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</si>
  <si>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</si>
  <si>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</si>
  <si>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</si>
  <si>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</si>
  <si>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</si>
  <si>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</si>
  <si>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</si>
  <si>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</si>
  <si>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</si>
  <si>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</si>
  <si>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</si>
  <si>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</si>
  <si>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</si>
  <si>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</si>
  <si>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</si>
  <si>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</si>
  <si>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</si>
  <si>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</si>
  <si>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</si>
  <si>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</si>
  <si>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</si>
  <si>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</si>
  <si>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</si>
  <si>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</si>
  <si>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</si>
  <si>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</si>
  <si>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</si>
  <si>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</si>
  <si>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</si>
  <si>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</si>
  <si>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</si>
  <si>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</si>
  <si>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</si>
  <si>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</si>
  <si>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</si>
  <si>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UL - Vilene 17</t>
  </si>
  <si>
    <t>innerhalb von 120 Tagen ohne Abzug</t>
  </si>
  <si>
    <t>B05 - Jutta Vo Quang</t>
  </si>
  <si>
    <t>Z094</t>
  </si>
  <si>
    <t>innerhalb von 150 Tagen ohne Abzug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</si>
  <si>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</si>
  <si>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</si>
  <si>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</si>
  <si>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</si>
  <si>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</si>
  <si>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</si>
  <si>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</si>
  <si>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</si>
  <si>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</si>
  <si>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</si>
  <si>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</si>
  <si>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</si>
  <si>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</si>
  <si>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</si>
  <si>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</si>
  <si>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</si>
  <si>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</si>
  <si>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</si>
  <si>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</si>
  <si>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</si>
  <si>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</si>
  <si>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</si>
  <si>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</si>
  <si>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</si>
  <si>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</si>
  <si>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</si>
  <si>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</si>
  <si>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</si>
  <si>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</si>
  <si>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</si>
  <si>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</si>
  <si>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</si>
  <si>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</si>
  <si>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</si>
  <si>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</si>
  <si>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</si>
  <si>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</si>
  <si>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</si>
  <si>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</si>
  <si>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</si>
  <si>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</si>
  <si>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</si>
  <si>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</si>
  <si>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</si>
  <si>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</si>
  <si>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</si>
  <si>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</si>
  <si>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</si>
  <si>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</si>
  <si>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</si>
  <si>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</si>
  <si>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</si>
  <si>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</si>
  <si>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</si>
  <si>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</si>
  <si>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</si>
  <si>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</si>
  <si>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</si>
  <si>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</si>
  <si>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</si>
  <si>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</si>
  <si>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</si>
  <si>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</si>
  <si>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</si>
  <si>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</si>
  <si>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</si>
  <si>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</si>
  <si>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</si>
  <si>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</si>
  <si>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</si>
  <si>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</si>
  <si>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</si>
  <si>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</si>
  <si>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</si>
  <si>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</si>
  <si>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</si>
  <si>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</si>
  <si>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</si>
  <si>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</si>
  <si>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</si>
  <si>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</si>
  <si>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</si>
  <si>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</si>
  <si>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</si>
  <si>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</si>
  <si>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</si>
  <si>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</si>
  <si>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</si>
  <si>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</si>
  <si>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</si>
  <si>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</si>
  <si>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</si>
  <si>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</si>
  <si>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</si>
  <si>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</si>
  <si>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</si>
  <si>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</si>
  <si>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</si>
  <si>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</si>
  <si>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</si>
  <si>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</si>
  <si>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</si>
  <si>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</si>
  <si>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</si>
  <si>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</si>
  <si>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</si>
  <si>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</si>
  <si>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</si>
  <si>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</si>
  <si>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</si>
  <si>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</si>
  <si>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</si>
  <si>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</si>
  <si>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</si>
  <si>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</si>
  <si>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</si>
  <si>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</si>
  <si>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</si>
  <si>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</si>
  <si>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</si>
  <si>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</si>
  <si>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</si>
  <si>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</si>
  <si>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</si>
  <si>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</si>
  <si>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</si>
  <si>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</si>
  <si>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</si>
  <si>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</si>
  <si>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</si>
  <si>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</si>
  <si>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</si>
  <si>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</si>
  <si>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</si>
  <si>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</si>
  <si>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</si>
  <si>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</si>
  <si>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</si>
  <si>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</si>
  <si>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</si>
  <si>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</si>
  <si>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</si>
  <si>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</si>
  <si>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</si>
  <si>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</si>
  <si>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</si>
  <si>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</si>
  <si>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</si>
  <si>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</si>
  <si>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</si>
  <si>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</si>
  <si>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</si>
  <si>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</si>
  <si>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</si>
  <si>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</si>
  <si>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</si>
  <si>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</si>
  <si>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</si>
  <si>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</si>
  <si>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</si>
  <si>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</si>
  <si>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</si>
  <si>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</si>
  <si>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</si>
  <si>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</si>
  <si>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</si>
  <si>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</si>
  <si>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</si>
  <si>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</si>
  <si>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</si>
  <si>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</si>
  <si>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</si>
  <si>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</si>
  <si>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</si>
  <si>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</si>
  <si>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</si>
  <si>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</si>
  <si>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</si>
  <si>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</si>
  <si>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</si>
  <si>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</si>
  <si>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</si>
  <si>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</si>
  <si>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</si>
  <si>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</si>
  <si>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</si>
  <si>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</si>
  <si>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</si>
  <si>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</si>
  <si>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</si>
  <si>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</si>
  <si>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</si>
  <si>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</si>
  <si>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</si>
  <si>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</si>
  <si>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</si>
  <si>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</si>
  <si>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</si>
  <si>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</si>
  <si>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</si>
  <si>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</si>
  <si>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</si>
  <si>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</si>
  <si>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</si>
  <si>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</si>
  <si>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</si>
  <si>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</si>
  <si>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</si>
  <si>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</si>
  <si>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</si>
  <si>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</si>
  <si>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</si>
  <si>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</si>
  <si>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</si>
  <si>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</si>
  <si>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</si>
  <si>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</si>
  <si>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</si>
  <si>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</si>
  <si>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</si>
  <si>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</si>
  <si>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</si>
  <si>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</si>
  <si>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</si>
  <si>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</si>
  <si>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</si>
  <si>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</si>
  <si>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</si>
  <si>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</si>
  <si>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</si>
  <si>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</si>
  <si>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</si>
  <si>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</si>
  <si>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</si>
  <si>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</si>
  <si>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</si>
  <si>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</si>
  <si>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</si>
  <si>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</si>
  <si>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</si>
  <si>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</si>
  <si>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</si>
  <si>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</si>
  <si>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</si>
  <si>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</si>
  <si>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</si>
  <si>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</si>
  <si>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</si>
  <si>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</si>
  <si>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</si>
  <si>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</si>
  <si>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</si>
  <si>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</si>
  <si>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</si>
  <si>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</si>
  <si>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</si>
  <si>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</si>
  <si>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</si>
  <si>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</si>
  <si>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</si>
  <si>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</si>
  <si>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</si>
  <si>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</si>
  <si>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</si>
  <si>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</si>
  <si>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</si>
  <si>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</si>
  <si>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</si>
  <si>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</si>
  <si>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</si>
  <si>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</si>
  <si>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</si>
  <si>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</si>
  <si>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</si>
  <si>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</si>
  <si>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</si>
  <si>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</si>
  <si>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</si>
  <si>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</si>
  <si>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</si>
  <si>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</si>
  <si>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</si>
  <si>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</si>
  <si>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</si>
  <si>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</si>
  <si>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</si>
  <si>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</si>
  <si>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</si>
  <si>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</si>
  <si>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</si>
  <si>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</si>
  <si>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</si>
  <si>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</si>
  <si>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</si>
  <si>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</si>
  <si>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</si>
  <si>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</si>
  <si>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</si>
  <si>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</si>
  <si>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</si>
  <si>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</si>
  <si>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</si>
  <si>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</si>
  <si>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</si>
  <si>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</si>
  <si>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</si>
  <si>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</si>
  <si>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</si>
  <si>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</si>
  <si>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</si>
  <si>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</si>
  <si>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</si>
  <si>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</si>
  <si>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99 - low</t>
  </si>
  <si>
    <t>2561 - Interlining TR</t>
  </si>
  <si>
    <t>3661 - FPM Apparel IT</t>
  </si>
  <si>
    <t>Fertig (Eintrag wurde angelegt)</t>
  </si>
  <si>
    <t>Dummy User</t>
  </si>
  <si>
    <t>Error (Fehlerhaft)</t>
  </si>
  <si>
    <t>Neukunde</t>
  </si>
  <si>
    <t>Erweiterung</t>
  </si>
  <si>
    <t>Neukunde Spanien</t>
  </si>
  <si>
    <t>Erweiterung Spanien</t>
  </si>
  <si>
    <t>Reaktivierung</t>
  </si>
  <si>
    <t>Admin</t>
  </si>
  <si>
    <t>Designer</t>
  </si>
  <si>
    <t>RPAStatus</t>
  </si>
  <si>
    <t>01 - Industry</t>
  </si>
  <si>
    <t>MB - Marelli&amp;Berta</t>
  </si>
  <si>
    <t>GY - Gygli</t>
  </si>
  <si>
    <t>SalesOrganization</t>
  </si>
  <si>
    <t>EUCountrys</t>
  </si>
  <si>
    <t>WebShop</t>
  </si>
  <si>
    <t>CustSegmKey</t>
  </si>
  <si>
    <t>ABCClass</t>
  </si>
  <si>
    <t>ExchRateType</t>
  </si>
  <si>
    <t>PartDelivery</t>
  </si>
  <si>
    <t>Acctassgmtgroup</t>
  </si>
  <si>
    <t>TaxCategory</t>
  </si>
  <si>
    <t>PartnerFunctions</t>
  </si>
  <si>
    <t>BundleLabels</t>
  </si>
  <si>
    <t>TranspZone</t>
  </si>
  <si>
    <t>PTerms</t>
  </si>
  <si>
    <t>PtermsDescription1</t>
  </si>
  <si>
    <t>PtermsDescription2</t>
  </si>
  <si>
    <t>PtermsDescription3</t>
  </si>
  <si>
    <t>MinOrder</t>
  </si>
  <si>
    <t>Spediteur</t>
  </si>
  <si>
    <t>TrackingMail</t>
  </si>
  <si>
    <t>Provisionsvertreter</t>
  </si>
  <si>
    <t>FaxEmailRecipient</t>
  </si>
  <si>
    <t>DeveloperEmail</t>
  </si>
  <si>
    <t>Done (entry has been created)</t>
  </si>
  <si>
    <t>Error (faulty)</t>
  </si>
  <si>
    <t>New customer</t>
  </si>
  <si>
    <t>Extension</t>
  </si>
  <si>
    <t>New customer Spain</t>
  </si>
  <si>
    <t>Extension Spain</t>
  </si>
  <si>
    <t>Reactivation</t>
  </si>
  <si>
    <t>Approved At</t>
  </si>
  <si>
    <t>Created From</t>
  </si>
  <si>
    <t>Status RPA</t>
  </si>
  <si>
    <t>Customer Name</t>
  </si>
  <si>
    <t>SAP Nr</t>
  </si>
  <si>
    <t>Created At</t>
  </si>
  <si>
    <t>CustomersListFormTitel</t>
  </si>
  <si>
    <t>CustomersListInstructions</t>
  </si>
  <si>
    <t>CustomersListAddButton</t>
  </si>
  <si>
    <t>CustomersListViewButton</t>
  </si>
  <si>
    <t>CustomersListCancelButton</t>
  </si>
  <si>
    <t>Quit Manager.</t>
  </si>
  <si>
    <t>Quit</t>
  </si>
  <si>
    <t>Beenden</t>
  </si>
  <si>
    <t>Kundenmanager beenden.</t>
  </si>
  <si>
    <t>ConfigureFormTitel</t>
  </si>
  <si>
    <t>ConfigureFormInstructions</t>
  </si>
  <si>
    <t>ConfigureFormFrameAccountGroup</t>
  </si>
  <si>
    <t>ConfigureFormFrameSalesOrganization</t>
  </si>
  <si>
    <t>ConfigureFormFrameChannel</t>
  </si>
  <si>
    <t>ConfigureFormFrameOptions</t>
  </si>
  <si>
    <t>ConfigureFormFrameID</t>
  </si>
  <si>
    <t>ConfigureFormFrameUser</t>
  </si>
  <si>
    <t>Requested by</t>
  </si>
  <si>
    <t>Anfordered von</t>
  </si>
  <si>
    <t>ConfigureFormApplyButton</t>
  </si>
  <si>
    <t>Anwenden</t>
  </si>
  <si>
    <t>Abbrechen</t>
  </si>
  <si>
    <t>Reactivate/ Update exisiting Account</t>
  </si>
  <si>
    <t>Vorhandenes Konto reaktivieren/ aktualisieren</t>
  </si>
  <si>
    <t>Request New Account</t>
  </si>
  <si>
    <t>Neues Konto anfordern</t>
  </si>
  <si>
    <t>Accept, display next page</t>
  </si>
  <si>
    <t>Anwenden, nächste Registerkarte anzeigen</t>
  </si>
  <si>
    <t>Kontoanforderung</t>
  </si>
  <si>
    <t>KUNA</t>
  </si>
  <si>
    <t>01</t>
  </si>
  <si>
    <t>ID Count</t>
  </si>
  <si>
    <t>ConfigureFormOptionButtonNewCustomer</t>
  </si>
  <si>
    <t>ConfigureFormOptionButtonReactivate</t>
  </si>
  <si>
    <t>Channel0361</t>
  </si>
  <si>
    <t>Channel2561</t>
  </si>
  <si>
    <t>Channel2961</t>
  </si>
  <si>
    <t>Channel3661</t>
  </si>
  <si>
    <t>[KUNA]</t>
  </si>
  <si>
    <t>[KUNW]</t>
  </si>
  <si>
    <t>[0361]</t>
  </si>
  <si>
    <t>[2561]</t>
  </si>
  <si>
    <t>[2961]</t>
  </si>
  <si>
    <t>[3661]</t>
  </si>
  <si>
    <t>TextBox</t>
  </si>
  <si>
    <t>Name1</t>
  </si>
  <si>
    <t>toFill</t>
  </si>
  <si>
    <t>Rechtsform</t>
  </si>
  <si>
    <t>hidden</t>
  </si>
  <si>
    <t>Straße</t>
  </si>
  <si>
    <t>Nr</t>
  </si>
  <si>
    <t>Postzeitzahl</t>
  </si>
  <si>
    <t>Ort</t>
  </si>
  <si>
    <t>ComboBox</t>
  </si>
  <si>
    <t>Land</t>
  </si>
  <si>
    <t>Sprache</t>
  </si>
  <si>
    <t>Telefon</t>
  </si>
  <si>
    <t>SteuerNummer1</t>
  </si>
  <si>
    <t>SteuerNummer2</t>
  </si>
  <si>
    <t>UstIDNr</t>
  </si>
  <si>
    <t>KundenSegmentierung</t>
  </si>
  <si>
    <t>PartnerNachname</t>
  </si>
  <si>
    <t>PartnerVorname</t>
  </si>
  <si>
    <t>PartnerEmail</t>
  </si>
  <si>
    <t>Kundebezirk</t>
  </si>
  <si>
    <t>Verkaufsbuero</t>
  </si>
  <si>
    <t>Verkeaufergruppe</t>
  </si>
  <si>
    <t>ABCKlasse</t>
  </si>
  <si>
    <t>Waehrung</t>
  </si>
  <si>
    <t>Preisliste</t>
  </si>
  <si>
    <t>Versandbedingung</t>
  </si>
  <si>
    <t>TeillieferungMaxVAL</t>
  </si>
  <si>
    <t>IncotermsOrt</t>
  </si>
  <si>
    <t>Zahlungsbedingung</t>
  </si>
  <si>
    <t>Mindermengenzuschlag</t>
  </si>
  <si>
    <t>Control Name</t>
  </si>
  <si>
    <t>Adresses</t>
  </si>
  <si>
    <t>AdressesHeader</t>
  </si>
  <si>
    <t>AdressesBody</t>
  </si>
  <si>
    <t>AdressesId</t>
  </si>
  <si>
    <t>FIELD SETTINGS</t>
  </si>
  <si>
    <t>ROLES</t>
  </si>
  <si>
    <t>AdressesTable</t>
  </si>
  <si>
    <t>Zoltan.Toth@email.com</t>
  </si>
  <si>
    <t>Test Name</t>
  </si>
  <si>
    <t>Test Name 2</t>
  </si>
  <si>
    <t>Atelier@kallen.com</t>
  </si>
  <si>
    <t>Test Name 3</t>
  </si>
  <si>
    <t>Test Name 4</t>
  </si>
  <si>
    <t>Test Name 5</t>
  </si>
  <si>
    <t>Test Name 6</t>
  </si>
  <si>
    <t>Test Name 7</t>
  </si>
  <si>
    <t>Test Name 8</t>
  </si>
  <si>
    <t>Test Name 9</t>
  </si>
  <si>
    <t>Z335</t>
  </si>
  <si>
    <t>Z336</t>
  </si>
  <si>
    <t>Z338</t>
  </si>
  <si>
    <t>Z339</t>
  </si>
  <si>
    <t>Z340</t>
  </si>
  <si>
    <t>Z341</t>
  </si>
  <si>
    <t>2961</t>
  </si>
  <si>
    <t>User, Guest</t>
  </si>
  <si>
    <t>User, Approved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</si>
</sst>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charset val="238"/>
      <scheme val="minor"/>
    </font>
    <font>
      <b/>
      <sz val="11"/>
      <color rgb="FFC00000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hair">
        <color theme="0" tint="-0.499984740745262"/>
      </right>
      <top style="thin">
        <color indexed="64"/>
      </top>
      <bottom style="hair">
        <color indexed="64"/>
      </bottom>
      <diagonal/>
    </border>
    <border>
      <left style="hair">
        <color theme="0" tint="-0.499984740745262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theme="0" tint="-0.499984740745262"/>
      </right>
      <top style="hair">
        <color indexed="64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indexed="64"/>
      </top>
      <bottom style="hair">
        <color indexed="64"/>
      </bottom>
      <diagonal/>
    </border>
    <border>
      <left style="hair">
        <color theme="0" tint="-0.499984740745262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theme="0" tint="-0.499984740745262"/>
      </right>
      <top/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indexed="64"/>
      </bottom>
      <diagonal/>
    </border>
    <border>
      <left style="hair">
        <color theme="0" tint="-0.499984740745262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theme="0" tint="-0.499984740745262"/>
      </right>
      <top style="hair">
        <color indexed="64"/>
      </top>
      <bottom/>
      <diagonal/>
    </border>
    <border>
      <left style="hair">
        <color theme="0" tint="-0.499984740745262"/>
      </left>
      <right style="thin">
        <color indexed="64"/>
      </right>
      <top style="hair">
        <color indexed="64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30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NumberFormat="1" applyFont="1" applyFill="1"/>
    <xf numFmtId="0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 applyBorder="1"/>
    <xf numFmtId="0" fontId="0" fillId="0" borderId="1" xfId="0" applyFont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0" fontId="5" fillId="0" borderId="0" xfId="0" applyNumberFormat="1" applyFont="1" applyFill="1"/>
    <xf numFmtId="0" fontId="5" fillId="0" borderId="0" xfId="0" applyNumberFormat="1" applyFont="1"/>
    <xf numFmtId="0" fontId="5" fillId="0" borderId="0" xfId="0" applyNumberFormat="1" applyFont="1" applyBorder="1"/>
    <xf numFmtId="0" fontId="5" fillId="0" borderId="0" xfId="0" applyNumberFormat="1" applyFont="1" applyFill="1" applyBorder="1"/>
    <xf numFmtId="0" fontId="5" fillId="0" borderId="6" xfId="0" applyNumberFormat="1" applyFont="1" applyBorder="1"/>
    <xf numFmtId="0" fontId="5" fillId="0" borderId="8" xfId="0" applyNumberFormat="1" applyFont="1" applyBorder="1"/>
    <xf numFmtId="0" fontId="5" fillId="0" borderId="8" xfId="0" applyNumberFormat="1" applyFont="1" applyFill="1" applyBorder="1"/>
    <xf numFmtId="0" fontId="5" fillId="0" borderId="9" xfId="0" applyNumberFormat="1" applyFont="1" applyBorder="1"/>
    <xf numFmtId="0" fontId="1" fillId="2" borderId="2" xfId="0" applyNumberFormat="1" applyFont="1" applyFill="1" applyBorder="1" applyAlignment="1">
      <alignment horizontal="center" vertical="center"/>
    </xf>
    <xf numFmtId="0" fontId="1" fillId="2" borderId="3" xfId="0" applyNumberFormat="1" applyFont="1" applyFill="1" applyBorder="1" applyAlignment="1">
      <alignment horizontal="left" vertical="center"/>
    </xf>
    <xf numFmtId="0" fontId="4" fillId="2" borderId="4" xfId="0" applyNumberFormat="1" applyFont="1" applyFill="1" applyBorder="1" applyAlignment="1">
      <alignment horizontal="left" vertical="center"/>
    </xf>
    <xf numFmtId="0" fontId="8" fillId="3" borderId="2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 vertical="center"/>
    </xf>
    <xf numFmtId="0" fontId="4" fillId="0" borderId="5" xfId="0" applyNumberFormat="1" applyFont="1" applyBorder="1" applyAlignment="1">
      <alignment horizontal="right" vertical="center"/>
    </xf>
    <xf numFmtId="1" fontId="4" fillId="0" borderId="5" xfId="0" applyNumberFormat="1" applyFont="1" applyBorder="1" applyAlignment="1">
      <alignment horizontal="right" vertical="center"/>
    </xf>
    <xf numFmtId="0" fontId="1" fillId="4" borderId="2" xfId="0" applyNumberFormat="1" applyFont="1" applyFill="1" applyBorder="1" applyAlignment="1">
      <alignment horizontal="center" vertical="center"/>
    </xf>
    <xf numFmtId="0" fontId="1" fillId="4" borderId="3" xfId="0" applyNumberFormat="1" applyFont="1" applyFill="1" applyBorder="1" applyAlignment="1">
      <alignment horizontal="left" vertical="center"/>
    </xf>
    <xf numFmtId="0" fontId="4" fillId="4" borderId="4" xfId="0" applyNumberFormat="1" applyFont="1" applyFill="1" applyBorder="1" applyAlignment="1">
      <alignment horizontal="left" vertical="center"/>
    </xf>
    <xf numFmtId="0" fontId="4" fillId="0" borderId="7" xfId="0" applyNumberFormat="1" applyFont="1" applyBorder="1" applyAlignment="1">
      <alignment horizontal="right" vertical="center"/>
    </xf>
    <xf numFmtId="0" fontId="4" fillId="0" borderId="0" xfId="0" applyNumberFormat="1" applyFont="1" applyAlignment="1">
      <alignment horizontal="right"/>
    </xf>
    <xf numFmtId="1" fontId="4" fillId="0" borderId="7" xfId="0" applyNumberFormat="1" applyFont="1" applyBorder="1" applyAlignment="1">
      <alignment horizontal="right" vertical="center"/>
    </xf>
    <xf numFmtId="0" fontId="4" fillId="0" borderId="0" xfId="0" applyNumberFormat="1" applyFont="1" applyFill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5" xfId="0" applyNumberFormat="1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8" fillId="3" borderId="3" xfId="0" applyFont="1" applyFill="1" applyBorder="1" applyAlignment="1">
      <alignment horizontal="left"/>
    </xf>
    <xf numFmtId="0" fontId="2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4" fillId="0" borderId="0" xfId="0" applyNumberFormat="1" applyFont="1" applyFill="1"/>
    <xf numFmtId="0" fontId="2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Font="1"/>
    <xf numFmtId="0" fontId="0" fillId="0" borderId="10" xfId="0" applyFont="1" applyBorder="1"/>
    <xf numFmtId="0" fontId="1" fillId="0" borderId="1" xfId="0" applyFont="1" applyBorder="1"/>
    <xf numFmtId="0" fontId="0" fillId="0" borderId="1" xfId="0" applyFont="1" applyBorder="1"/>
    <xf numFmtId="0" fontId="0" fillId="0" borderId="0" xfId="0" applyFont="1" applyBorder="1"/>
    <xf numFmtId="0" fontId="1" fillId="0" borderId="8" xfId="0" applyFont="1" applyBorder="1"/>
    <xf numFmtId="0" fontId="1" fillId="0" borderId="11" xfId="0" applyFont="1" applyBorder="1"/>
    <xf numFmtId="0" fontId="5" fillId="0" borderId="0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left" vertical="center"/>
    </xf>
    <xf numFmtId="0" fontId="4" fillId="0" borderId="8" xfId="0" applyNumberFormat="1" applyFont="1" applyFill="1" applyBorder="1" applyAlignment="1">
      <alignment horizontal="left" vertical="center"/>
    </xf>
    <xf numFmtId="0" fontId="4" fillId="0" borderId="8" xfId="0" applyFont="1" applyFill="1" applyBorder="1" applyAlignment="1">
      <alignment horizontal="left" vertical="center"/>
    </xf>
    <xf numFmtId="14" fontId="4" fillId="0" borderId="8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14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/>
    <xf numFmtId="49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3" fontId="4" fillId="0" borderId="0" xfId="0" applyNumberFormat="1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left" vertical="center"/>
    </xf>
    <xf numFmtId="14" fontId="4" fillId="0" borderId="0" xfId="0" applyNumberFormat="1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1" xfId="0" applyNumberFormat="1" applyFont="1" applyFill="1" applyBorder="1" applyAlignment="1">
      <alignment horizontal="left" vertical="center"/>
    </xf>
    <xf numFmtId="14" fontId="5" fillId="0" borderId="1" xfId="0" applyNumberFormat="1" applyFont="1" applyFill="1" applyBorder="1" applyAlignment="1">
      <alignment horizontal="left" vertical="center"/>
    </xf>
    <xf numFmtId="0" fontId="5" fillId="0" borderId="0" xfId="0" applyFont="1" applyFill="1"/>
    <xf numFmtId="0" fontId="5" fillId="0" borderId="0" xfId="0" applyFont="1" applyFill="1" applyBorder="1"/>
    <xf numFmtId="0" fontId="5" fillId="0" borderId="0" xfId="0" applyFont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7" fillId="0" borderId="0" xfId="0" applyNumberFormat="1" applyFont="1" applyFill="1" applyBorder="1" applyAlignment="1"/>
    <xf numFmtId="0" fontId="0" fillId="0" borderId="0" xfId="0" applyBorder="1"/>
    <xf numFmtId="0" fontId="10" fillId="8" borderId="2" xfId="0" applyFont="1" applyFill="1" applyBorder="1"/>
    <xf numFmtId="0" fontId="10" fillId="8" borderId="3" xfId="0" applyFont="1" applyFill="1" applyBorder="1"/>
    <xf numFmtId="0" fontId="10" fillId="8" borderId="4" xfId="0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11" fillId="0" borderId="6" xfId="1" applyBorder="1"/>
    <xf numFmtId="0" fontId="11" fillId="0" borderId="0" xfId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Border="1"/>
    <xf numFmtId="49" fontId="4" fillId="0" borderId="0" xfId="0" applyNumberFormat="1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49" fontId="5" fillId="0" borderId="3" xfId="0" applyNumberFormat="1" applyFont="1" applyFill="1" applyBorder="1" applyAlignment="1">
      <alignment horizontal="left" vertical="center"/>
    </xf>
    <xf numFmtId="1" fontId="5" fillId="0" borderId="3" xfId="0" applyNumberFormat="1" applyFont="1" applyFill="1" applyBorder="1" applyAlignment="1">
      <alignment horizontal="left" vertical="center"/>
    </xf>
    <xf numFmtId="0" fontId="5" fillId="0" borderId="3" xfId="0" applyNumberFormat="1" applyFont="1" applyFill="1" applyBorder="1" applyAlignment="1">
      <alignment horizontal="left" vertical="center"/>
    </xf>
    <xf numFmtId="14" fontId="5" fillId="0" borderId="3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left" vertical="center"/>
    </xf>
    <xf numFmtId="14" fontId="0" fillId="0" borderId="0" xfId="0" applyNumberFormat="1"/>
    <xf numFmtId="0" fontId="7" fillId="0" borderId="0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8" fillId="3" borderId="4" xfId="0" applyFont="1" applyFill="1" applyBorder="1" applyAlignment="1">
      <alignment horizontal="left"/>
    </xf>
    <xf numFmtId="0" fontId="5" fillId="0" borderId="0" xfId="0" applyNumberFormat="1" applyFont="1" applyFill="1" applyBorder="1" applyAlignment="1">
      <alignment horizontal="left" vertical="center"/>
    </xf>
    <xf numFmtId="0" fontId="5" fillId="0" borderId="8" xfId="0" applyNumberFormat="1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theme="0" tint="-0.499984740745262"/>
        </left>
        <right style="thin">
          <color indexed="64"/>
        </right>
        <top style="hair">
          <color indexed="64"/>
        </top>
        <bottom style="hair">
          <color indexed="64"/>
        </bottom>
        <vertical style="hair">
          <color theme="0" tint="-0.499984740745262"/>
        </vertical>
        <horizontal style="hair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theme="0" tint="-0.499984740745262"/>
        </left>
        <right style="hair">
          <color theme="0" tint="-0.499984740745262"/>
        </right>
        <top style="hair">
          <color indexed="64"/>
        </top>
        <bottom style="hair">
          <color indexed="64"/>
        </bottom>
        <vertical style="hair">
          <color theme="0" tint="-0.499984740745262"/>
        </vertical>
        <horizontal style="hair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theme="0" tint="-0.499984740745262"/>
        </left>
        <right style="hair">
          <color theme="0" tint="-0.499984740745262"/>
        </right>
        <top style="hair">
          <color indexed="64"/>
        </top>
        <bottom style="hair">
          <color indexed="64"/>
        </bottom>
        <vertical style="hair">
          <color theme="0" tint="-0.499984740745262"/>
        </vertical>
        <horizontal style="hair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theme="0" tint="-0.499984740745262"/>
        </right>
        <top style="hair">
          <color indexed="64"/>
        </top>
        <bottom style="hair">
          <color indexed="64"/>
        </bottom>
        <vertical style="hair">
          <color theme="0" tint="-0.499984740745262"/>
        </vertical>
        <horizontal style="hair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theme="0" tint="-0.499984740745262"/>
        </left>
        <right style="thin">
          <color indexed="64"/>
        </right>
        <top style="hair">
          <color indexed="64"/>
        </top>
        <bottom style="hair">
          <color indexed="64"/>
        </bottom>
        <vertical style="hair">
          <color theme="0" tint="-0.499984740745262"/>
        </vertical>
        <horizontal style="hair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theme="0" tint="-0.499984740745262"/>
        </right>
        <top style="hair">
          <color indexed="64"/>
        </top>
        <bottom style="hair">
          <color indexed="64"/>
        </bottom>
        <vertical style="hair">
          <color theme="0" tint="-0.499984740745262"/>
        </vertical>
        <horizontal style="hair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FFFF99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4F7FC"/>
      <color rgb="FF646464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0</xdr:row>
      <xdr:rowOff>38100</xdr:rowOff>
    </xdr:from>
    <xdr:to>
      <xdr:col>0</xdr:col>
      <xdr:colOff>495301</xdr:colOff>
      <xdr:row>1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151" y="38100"/>
          <a:ext cx="438150" cy="295275"/>
        </a:xfrm>
        <a:prstGeom prst="rect">
          <a:avLst/>
        </a:prstGeom>
        <a:solidFill>
          <a:srgbClr val="64646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66675</xdr:colOff>
      <xdr:row>2</xdr:row>
      <xdr:rowOff>47625</xdr:rowOff>
    </xdr:from>
    <xdr:to>
      <xdr:col>0</xdr:col>
      <xdr:colOff>504825</xdr:colOff>
      <xdr:row>3</xdr:row>
      <xdr:rowOff>142875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" y="438150"/>
          <a:ext cx="438150" cy="295275"/>
        </a:xfrm>
        <a:prstGeom prst="rect">
          <a:avLst/>
        </a:prstGeom>
        <a:solidFill>
          <a:srgbClr val="F4F7F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14</xdr:row>
          <xdr:rowOff>38100</xdr:rowOff>
        </xdr:from>
        <xdr:to>
          <xdr:col>19</xdr:col>
          <xdr:colOff>581025</xdr:colOff>
          <xdr:row>18</xdr:row>
          <xdr:rowOff>76200</xdr:rowOff>
        </xdr:to>
        <xdr:sp macro="" textlink="">
          <xdr:nvSpPr>
            <xdr:cNvPr id="1025" name="Button 1" descr="Run Costumers Li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Customers List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299.697739467592" backgroundQuery="1" createdVersion="6" refreshedVersion="7" minRefreshableVersion="3" recordCount="0" supportSubquery="1" supportAdvancedDrill="1" xr:uid="{00000000-000A-0000-FFFF-FFFF00000000}">
  <cacheSource type="external" connectionId="1"/>
  <cacheFields count="9">
    <cacheField name="[RPAStatusTable].[AccountSapNr].[AccountSapNr]" caption="AccountSapNr" numFmtId="0" hierarchy="33" level="1">
      <sharedItems containsSemiMixedTypes="0" containsString="0" containsNumber="1" containsInteger="1" minValue="500000" maxValue="500007" count="8">
        <n v="500000"/>
        <n v="500001"/>
        <n v="500002"/>
        <n v="500003"/>
        <n v="500004"/>
        <n v="500005"/>
        <n v="500006"/>
        <n v="500007"/>
      </sharedItems>
      <extLst>
        <ext xmlns:x15="http://schemas.microsoft.com/office/spreadsheetml/2010/11/main" uri="{4F2E5C28-24EA-4eb8-9CBF-B6C8F9C3D259}">
          <x15:cachedUniqueNames>
            <x15:cachedUniqueName index="0" name="[RPAStatusTable].[AccountSapNr].&amp;[500000]"/>
            <x15:cachedUniqueName index="1" name="[RPAStatusTable].[AccountSapNr].&amp;[500001]"/>
            <x15:cachedUniqueName index="2" name="[RPAStatusTable].[AccountSapNr].&amp;[500002]"/>
            <x15:cachedUniqueName index="3" name="[RPAStatusTable].[AccountSapNr].&amp;[500003]"/>
            <x15:cachedUniqueName index="4" name="[RPAStatusTable].[AccountSapNr].&amp;[500004]"/>
            <x15:cachedUniqueName index="5" name="[RPAStatusTable].[AccountSapNr].&amp;[500005]"/>
            <x15:cachedUniqueName index="6" name="[RPAStatusTable].[AccountSapNr].&amp;[500006]"/>
            <x15:cachedUniqueName index="7" name="[RPAStatusTable].[AccountSapNr].&amp;[500007]"/>
          </x15:cachedUniqueNames>
        </ext>
      </extLst>
    </cacheField>
    <cacheField name="[AdressesTable].[CustomerFirstName].[CustomerFirstName]" caption="CustomerFirstName" numFmtId="0" hierarchy="2" level="1">
      <sharedItems count="1">
        <s v="Test Name"/>
      </sharedItems>
    </cacheField>
    <cacheField name="[RPAStatusTable].[Status].[Status]" caption="Status" numFmtId="0" hierarchy="34" level="1">
      <sharedItems count="3">
        <s v="Done (entry has been created)"/>
        <s v="Error (faulty)"/>
        <s v="New customer"/>
      </sharedItems>
    </cacheField>
    <cacheField name="[RPAStatusTable].[UserApproved].[UserApproved]" caption="UserApproved" numFmtId="0" hierarchy="35" level="1">
      <sharedItems count="1">
        <s v="User, Approved"/>
      </sharedItems>
    </cacheField>
    <cacheField name="[RPAStatusTable].[TimeStampApproved].[TimeStampApproved]" caption="TimeStampApproved" numFmtId="0" hierarchy="36" level="1">
      <sharedItems containsSemiMixedTypes="0" containsNonDate="0" containsDate="1" containsString="0" minDate="2020-10-19T00:00:00" maxDate="2020-10-27T00:00:00" count="8"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</sharedItems>
    </cacheField>
    <cacheField name="[RPAStatusTable].[ID].[ID]" caption="ID" numFmtId="0" hierarchy="29" level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  <extLst>
        <ext xmlns:x15="http://schemas.microsoft.com/office/spreadsheetml/2010/11/main" uri="{4F2E5C28-24EA-4eb8-9CBF-B6C8F9C3D259}">
          <x15:cachedUniqueNames>
            <x15:cachedUniqueName index="0" name="[RPAStatusTable].[ID].&amp;[1]"/>
            <x15:cachedUniqueName index="1" name="[RPAStatusTable].[ID].&amp;[2]"/>
            <x15:cachedUniqueName index="2" name="[RPAStatusTable].[ID].&amp;[3]"/>
            <x15:cachedUniqueName index="3" name="[RPAStatusTable].[ID].&amp;[4]"/>
            <x15:cachedUniqueName index="4" name="[RPAStatusTable].[ID].&amp;[5]"/>
            <x15:cachedUniqueName index="5" name="[RPAStatusTable].[ID].&amp;[6]"/>
            <x15:cachedUniqueName index="6" name="[RPAStatusTable].[ID].&amp;[7]"/>
            <x15:cachedUniqueName index="7" name="[RPAStatusTable].[ID].&amp;[8]"/>
          </x15:cachedUniqueNames>
        </ext>
      </extLst>
    </cacheField>
    <cacheField name="[AdressesTable].[UserCreated].[UserCreated]" caption="UserCreated" numFmtId="0" hierarchy="21" level="1">
      <sharedItems count="1">
        <s v="User, Guest"/>
      </sharedItems>
    </cacheField>
    <cacheField name="[AdressesTable].[TimeStampCreated].[TimeStampCreated]" caption="TimeStampCreated" numFmtId="0" hierarchy="22" level="1">
      <sharedItems containsSemiMixedTypes="0" containsNonDate="0" containsDate="1" containsString="0" minDate="2020-10-13T00:00:00" maxDate="2020-10-21T00:00:00" count="8"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</sharedItems>
    </cacheField>
    <cacheField name="[Measures].[Count of ID]" caption="Count of ID" numFmtId="0" hierarchy="47" level="32767"/>
  </cacheFields>
  <cacheHierarchies count="48">
    <cacheHierarchy uniqueName="[AdressesTable].[ID]" caption="ID" attribute="1" defaultMemberUniqueName="[AdressesTable].[ID].[All]" allUniqueName="[AdressesTable].[ID].[All]" dimensionUniqueName="[AdressesTable]" displayFolder="" count="0" memberValueDatatype="20" unbalanced="0"/>
    <cacheHierarchy uniqueName="[AdressesTable].[AccountSapNr]" caption="AccountSapNr" attribute="1" defaultMemberUniqueName="[AdressesTable].[AccountSapNr].[All]" allUniqueName="[AdressesTable].[AccountSapNr].[All]" dimensionUniqueName="[AdressesTable]" displayFolder="" count="0" memberValueDatatype="130" unbalanced="0"/>
    <cacheHierarchy uniqueName="[AdressesTable].[CustomerFirstName]" caption="CustomerFirstName" attribute="1" defaultMemberUniqueName="[AdressesTable].[CustomerFirstName].[All]" allUniqueName="[AdressesTable].[CustomerFirstName].[All]" dimensionUniqueName="[AdressesTable]" displayFolder="" count="2" memberValueDatatype="130" unbalanced="0">
      <fieldsUsage count="2">
        <fieldUsage x="-1"/>
        <fieldUsage x="1"/>
      </fieldsUsage>
    </cacheHierarchy>
    <cacheHierarchy uniqueName="[AdressesTable].[CustomerSecondName]" caption="CustomerSecondName" attribute="1" defaultMemberUniqueName="[AdressesTable].[CustomerSecondName].[All]" allUniqueName="[AdressesTable].[CustomerSecondName].[All]" dimensionUniqueName="[AdressesTable]" displayFolder="" count="0" memberValueDatatype="130" unbalanced="0"/>
    <cacheHierarchy uniqueName="[AdressesTable].[CustomerThirdName]" caption="CustomerThirdName" attribute="1" defaultMemberUniqueName="[AdressesTable].[CustomerThirdName].[All]" allUniqueName="[AdressesTable].[CustomerThirdName].[All]" dimensionUniqueName="[AdressesTable]" displayFolder="" count="0" memberValueDatatype="130" unbalanced="0"/>
    <cacheHierarchy uniqueName="[AdressesTable].[CustomerForthName]" caption="CustomerForthName" attribute="1" defaultMemberUniqueName="[AdressesTable].[CustomerForthName].[All]" allUniqueName="[AdressesTable].[CustomerForthName].[All]" dimensionUniqueName="[AdressesTable]" displayFolder="" count="0" memberValueDatatype="130" unbalanced="0"/>
    <cacheHierarchy uniqueName="[AdressesTable].[LegalFormDescription]" caption="LegalFormDescription" attribute="1" defaultMemberUniqueName="[AdressesTable].[LegalFormDescription].[All]" allUniqueName="[AdressesTable].[LegalFormDescription].[All]" dimensionUniqueName="[AdressesTable]" displayFolder="" count="0" memberValueDatatype="130" unbalanced="0"/>
    <cacheHierarchy uniqueName="[AdressesTable].[Street]" caption="Street" attribute="1" defaultMemberUniqueName="[AdressesTable].[Street].[All]" allUniqueName="[AdressesTable].[Street].[All]" dimensionUniqueName="[AdressesTable]" displayFolder="" count="0" memberValueDatatype="130" unbalanced="0"/>
    <cacheHierarchy uniqueName="[AdressesTable].[StreetNumber]" caption="StreetNumber" attribute="1" defaultMemberUniqueName="[AdressesTable].[StreetNumber].[All]" allUniqueName="[AdressesTable].[StreetNumber].[All]" dimensionUniqueName="[AdressesTable]" displayFolder="" count="0" memberValueDatatype="20" unbalanced="0"/>
    <cacheHierarchy uniqueName="[AdressesTable].[SecondStreet]" caption="SecondStreet" attribute="1" defaultMemberUniqueName="[AdressesTable].[SecondStreet].[All]" allUniqueName="[AdressesTable].[SecondStreet].[All]" dimensionUniqueName="[AdressesTable]" displayFolder="" count="0" memberValueDatatype="130" unbalanced="0"/>
    <cacheHierarchy uniqueName="[AdressesTable].[ForthStreet]" caption="ForthStreet" attribute="1" defaultMemberUniqueName="[AdressesTable].[ForthStreet].[All]" allUniqueName="[AdressesTable].[ForthStreet].[All]" dimensionUniqueName="[AdressesTable]" displayFolder="" count="0" memberValueDatatype="130" unbalanced="0"/>
    <cacheHierarchy uniqueName="[AdressesTable].[Area]" caption="Area" attribute="1" defaultMemberUniqueName="[AdressesTable].[Area].[All]" allUniqueName="[AdressesTable].[Area].[All]" dimensionUniqueName="[AdressesTable]" displayFolder="" count="0" memberValueDatatype="130" unbalanced="0"/>
    <cacheHierarchy uniqueName="[AdressesTable].[Postcode]" caption="Postcode" attribute="1" defaultMemberUniqueName="[AdressesTable].[Postcode].[All]" allUniqueName="[AdressesTable].[Postcode].[All]" dimensionUniqueName="[AdressesTable]" displayFolder="" count="0" memberValueDatatype="20" unbalanced="0"/>
    <cacheHierarchy uniqueName="[AdressesTable].[City]" caption="City" attribute="1" defaultMemberUniqueName="[AdressesTable].[City].[All]" allUniqueName="[AdressesTable].[City].[All]" dimensionUniqueName="[AdressesTable]" displayFolder="" count="0" memberValueDatatype="130" unbalanced="0"/>
    <cacheHierarchy uniqueName="[AdressesTable].[Country]" caption="Country" attribute="1" defaultMemberUniqueName="[AdressesTable].[Country].[All]" allUniqueName="[AdressesTable].[Country].[All]" dimensionUniqueName="[AdressesTable]" displayFolder="" count="0" memberValueDatatype="130" unbalanced="0"/>
    <cacheHierarchy uniqueName="[AdressesTable].[Region]" caption="Region" attribute="1" defaultMemberUniqueName="[AdressesTable].[Region].[All]" allUniqueName="[AdressesTable].[Region].[All]" dimensionUniqueName="[AdressesTable]" displayFolder="" count="0" memberValueDatatype="130" unbalanced="0"/>
    <cacheHierarchy uniqueName="[AdressesTable].[Language]" caption="Language" attribute="1" defaultMemberUniqueName="[AdressesTable].[Language].[All]" allUniqueName="[AdressesTable].[Language].[All]" dimensionUniqueName="[AdressesTable]" displayFolder="" count="0" memberValueDatatype="130" unbalanced="0"/>
    <cacheHierarchy uniqueName="[AdressesTable].[Telephone]" caption="Telephone" attribute="1" defaultMemberUniqueName="[AdressesTable].[Telephone].[All]" allUniqueName="[AdressesTable].[Telephone].[All]" dimensionUniqueName="[AdressesTable]" displayFolder="" count="0" memberValueDatatype="20" unbalanced="0"/>
    <cacheHierarchy uniqueName="[AdressesTable].[Fax]" caption="Fax" attribute="1" defaultMemberUniqueName="[AdressesTable].[Fax].[All]" allUniqueName="[AdressesTable].[Fax].[All]" dimensionUniqueName="[AdressesTable]" displayFolder="" count="0" memberValueDatatype="130" unbalanced="0"/>
    <cacheHierarchy uniqueName="[AdressesTable].[Email]" caption="Email" attribute="1" defaultMemberUniqueName="[AdressesTable].[Email].[All]" allUniqueName="[AdressesTable].[Email].[All]" dimensionUniqueName="[AdressesTable]" displayFolder="" count="0" memberValueDatatype="130" unbalanced="0"/>
    <cacheHierarchy uniqueName="[AdressesTable].[EntiltedForEmailNotification]" caption="EntiltedForEmailNotification" attribute="1" defaultMemberUniqueName="[AdressesTable].[EntiltedForEmailNotification].[All]" allUniqueName="[AdressesTable].[EntiltedForEmailNotification].[All]" dimensionUniqueName="[AdressesTable]" displayFolder="" count="0" memberValueDatatype="11" unbalanced="0"/>
    <cacheHierarchy uniqueName="[AdressesTable].[UserCreated]" caption="UserCreated" attribute="1" defaultMemberUniqueName="[AdressesTable].[UserCreated].[All]" allUniqueName="[AdressesTable].[UserCreated].[All]" dimensionUniqueName="[AdressesTable]" displayFolder="" count="2" memberValueDatatype="130" unbalanced="0">
      <fieldsUsage count="2">
        <fieldUsage x="-1"/>
        <fieldUsage x="6"/>
      </fieldsUsage>
    </cacheHierarchy>
    <cacheHierarchy uniqueName="[AdressesTable].[TimeStampCreated]" caption="TimeStampCreated" attribute="1" time="1" defaultMemberUniqueName="[AdressesTable].[TimeStampCreated].[All]" allUniqueName="[AdressesTable].[TimeStampCreated].[All]" dimensionUniqueName="[AdressesTable]" displayFolder="" count="2" memberValueDatatype="7" unbalanced="0">
      <fieldsUsage count="2">
        <fieldUsage x="-1"/>
        <fieldUsage x="7"/>
      </fieldsUsage>
    </cacheHierarchy>
    <cacheHierarchy uniqueName="[AdressesTable].[UserModified]" caption="UserModified" attribute="1" defaultMemberUniqueName="[AdressesTable].[UserModified].[All]" allUniqueName="[AdressesTable].[UserModified].[All]" dimensionUniqueName="[AdressesTable]" displayFolder="" count="0" memberValueDatatype="130" unbalanced="0"/>
    <cacheHierarchy uniqueName="[AdressesTable].[TimeStampModified]" caption="TimeStampModified" attribute="1" defaultMemberUniqueName="[AdressesTable].[TimeStampModified].[All]" allUniqueName="[AdressesTable].[TimeStampModified].[All]" dimensionUniqueName="[AdressesTable]" displayFolder="" count="0" memberValueDatatype="130" unbalanced="0"/>
    <cacheHierarchy uniqueName="[AdressesTable].[TimeStampCreated (Day)]" caption="TimeStampCreated (Day)" attribute="1" defaultMemberUniqueName="[AdressesTable].[TimeStampCreated (Day)].[All]" allUniqueName="[AdressesTable].[TimeStampCreated (Day)].[All]" dimensionUniqueName="[AdressesTable]" displayFolder="" count="0" memberValueDatatype="130" unbalanced="0"/>
    <cacheHierarchy uniqueName="[AdressesTable].[TimeStampCreated (Hour)]" caption="TimeStampCreated (Hour)" attribute="1" defaultMemberUniqueName="[AdressesTable].[TimeStampCreated (Hour)].[All]" allUniqueName="[AdressesTable].[TimeStampCreated (Hour)].[All]" dimensionUniqueName="[AdressesTable]" displayFolder="" count="0" memberValueDatatype="130" unbalanced="0"/>
    <cacheHierarchy uniqueName="[AdressesTable].[TimeStampCreated (Minute)]" caption="TimeStampCreated (Minute)" attribute="1" defaultMemberUniqueName="[AdressesTable].[TimeStampCreated (Minute)].[All]" allUniqueName="[AdressesTable].[TimeStampCreated (Minute)].[All]" dimensionUniqueName="[AdressesTable]" displayFolder="" count="0" memberValueDatatype="130" unbalanced="0"/>
    <cacheHierarchy uniqueName="[AdressesTable].[TimeStampCreated (Second)]" caption="TimeStampCreated (Second)" attribute="1" defaultMemberUniqueName="[AdressesTable].[TimeStampCreated (Second)].[All]" allUniqueName="[AdressesTable].[TimeStampCreated (Second)].[All]" dimensionUniqueName="[AdressesTable]" displayFolder="" count="0" memberValueDatatype="130" unbalanced="0"/>
    <cacheHierarchy uniqueName="[RPAStatusTable].[ID]" caption="ID" attribute="1" defaultMemberUniqueName="[RPAStatusTable].[ID].[All]" allUniqueName="[RPAStatusTable].[ID].[All]" dimensionUniqueName="[RPAStatusTable]" displayFolder="" count="2" memberValueDatatype="20" unbalanced="0">
      <fieldsUsage count="2">
        <fieldUsage x="-1"/>
        <fieldUsage x="5"/>
      </fieldsUsage>
    </cacheHierarchy>
    <cacheHierarchy uniqueName="[RPAStatusTable].[AccountGroup]" caption="AccountGroup" attribute="1" defaultMemberUniqueName="[RPAStatusTable].[AccountGroup].[All]" allUniqueName="[RPAStatusTable].[AccountGroup].[All]" dimensionUniqueName="[RPAStatusTable]" displayFolder="" count="0" memberValueDatatype="130" unbalanced="0"/>
    <cacheHierarchy uniqueName="[RPAStatusTable].[SalesOrganization]" caption="SalesOrganization" attribute="1" defaultMemberUniqueName="[RPAStatusTable].[SalesOrganization].[All]" allUniqueName="[RPAStatusTable].[SalesOrganization].[All]" dimensionUniqueName="[RPAStatusTable]" displayFolder="" count="0" memberValueDatatype="130" unbalanced="0"/>
    <cacheHierarchy uniqueName="[RPAStatusTable].[Channel]" caption="Channel" attribute="1" defaultMemberUniqueName="[RPAStatusTable].[Channel].[All]" allUniqueName="[RPAStatusTable].[Channel].[All]" dimensionUniqueName="[RPAStatusTable]" displayFolder="" count="0" memberValueDatatype="130" unbalanced="0"/>
    <cacheHierarchy uniqueName="[RPAStatusTable].[AccountSapNr]" caption="AccountSapNr" attribute="1" defaultMemberUniqueName="[RPAStatusTable].[AccountSapNr].[All]" allUniqueName="[RPAStatusTable].[AccountSapNr].[All]" dimensionUniqueName="[RPAStatusTable]" displayFolder="" count="2" memberValueDatatype="20" unbalanced="0">
      <fieldsUsage count="2">
        <fieldUsage x="-1"/>
        <fieldUsage x="0"/>
      </fieldsUsage>
    </cacheHierarchy>
    <cacheHierarchy uniqueName="[RPAStatusTable].[Status]" caption="Status" attribute="1" defaultMemberUniqueName="[RPAStatusTable].[Status].[All]" allUniqueName="[RPAStatusTable].[Status].[All]" dimensionUniqueName="[RPAStatusTable]" displayFolder="" count="2" memberValueDatatype="130" unbalanced="0">
      <fieldsUsage count="2">
        <fieldUsage x="-1"/>
        <fieldUsage x="2"/>
      </fieldsUsage>
    </cacheHierarchy>
    <cacheHierarchy uniqueName="[RPAStatusTable].[UserApproved]" caption="UserApproved" attribute="1" defaultMemberUniqueName="[RPAStatusTable].[UserApproved].[All]" allUniqueName="[RPAStatusTable].[UserApproved].[All]" dimensionUniqueName="[RPAStatusTable]" displayFolder="" count="2" memberValueDatatype="130" unbalanced="0">
      <fieldsUsage count="2">
        <fieldUsage x="-1"/>
        <fieldUsage x="3"/>
      </fieldsUsage>
    </cacheHierarchy>
    <cacheHierarchy uniqueName="[RPAStatusTable].[TimeStampApproved]" caption="TimeStampApproved" attribute="1" time="1" defaultMemberUniqueName="[RPAStatusTable].[TimeStampApproved].[All]" allUniqueName="[RPAStatusTable].[TimeStampApproved].[All]" dimensionUniqueName="[RPAStatusTable]" displayFolder="" count="2" memberValueDatatype="7" unbalanced="0">
      <fieldsUsage count="2">
        <fieldUsage x="-1"/>
        <fieldUsage x="4"/>
      </fieldsUsage>
    </cacheHierarchy>
    <cacheHierarchy uniqueName="[RPAStatusTable].[TimeStampApproved (Hour)]" caption="TimeStampApproved (Hour)" attribute="1" defaultMemberUniqueName="[RPAStatusTable].[TimeStampApproved (Hour)].[All]" allUniqueName="[RPAStatusTable].[TimeStampApproved (Hour)].[All]" dimensionUniqueName="[RPAStatusTable]" displayFolder="" count="0" memberValueDatatype="130" unbalanced="0"/>
    <cacheHierarchy uniqueName="[RPAStatusTable].[TimeStampApproved (Minute)]" caption="TimeStampApproved (Minute)" attribute="1" defaultMemberUniqueName="[RPAStatusTable].[TimeStampApproved (Minute)].[All]" allUniqueName="[RPAStatusTable].[TimeStampApproved (Minute)].[All]" dimensionUniqueName="[RPAStatusTable]" displayFolder="" count="0" memberValueDatatype="130" unbalanced="0"/>
    <cacheHierarchy uniqueName="[RPAStatusTable].[TimeStampApproved (Second)]" caption="TimeStampApproved (Second)" attribute="1" defaultMemberUniqueName="[RPAStatusTable].[TimeStampApproved (Second)].[All]" allUniqueName="[RPAStatusTable].[TimeStampApproved (Second)].[All]" dimensionUniqueName="[RPAStatusTable]" displayFolder="" count="0" memberValueDatatype="130" unbalanced="0"/>
    <cacheHierarchy uniqueName="[AdressesTable].[TimeStampCreated (Day Index)]" caption="TimeStampCreated (Day Index)" attribute="1" defaultMemberUniqueName="[AdressesTable].[TimeStampCreated (Day Index)].[All]" allUniqueName="[AdressesTable].[TimeStampCreated (Day Index)].[All]" dimensionUniqueName="[AdressesTable]" displayFolder="" count="0" memberValueDatatype="5" unbalanced="0" hidden="1"/>
    <cacheHierarchy uniqueName="[Measures].[__XL_Count RPAStatusTable]" caption="__XL_Count RPAStatusTable" measure="1" displayFolder="" measureGroup="RPAStatusTable" count="0" hidden="1"/>
    <cacheHierarchy uniqueName="[Measures].[__XL_Count AdressesTable]" caption="__XL_Count AdressesTable" measure="1" displayFolder="" measureGroup="AdressesTable" count="0" hidden="1"/>
    <cacheHierarchy uniqueName="[Measures].[__No measures defined]" caption="__No measures defined" measure="1" displayFolder="" count="0" hidden="1"/>
    <cacheHierarchy uniqueName="[Measures].[Sum of AccountSapNr]" caption="Sum of AccountSapNr" measure="1" displayFolder="" measureGroup="RPAStatusTable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RPAStatusTable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ID 2]" caption="Sum of ID 2" measure="1" displayFolder="" measureGroup="AdressesTabl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RPAStatusTable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3">
    <dimension name="AdressesTable" uniqueName="[AdressesTable]" caption="AdressesTable"/>
    <dimension measure="1" name="Measures" uniqueName="[Measures]" caption="Measures"/>
    <dimension name="RPAStatusTable" uniqueName="[RPAStatusTable]" caption="RPAStatusTable"/>
  </dimensions>
  <measureGroups count="2">
    <measureGroup name="AdressesTable" caption="AdressesTable"/>
    <measureGroup name="RPAStatusTable" caption="RPAStatusTable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ustomersList" cacheId="0" applyNumberFormats="0" applyBorderFormats="0" applyFontFormats="0" applyPatternFormats="0" applyAlignmentFormats="0" applyWidthHeightFormats="1" dataCaption="Values" missingCaption="-" tag="0d8fff19-edc2-4835-8a48-51a014b524db" updatedVersion="7" minRefreshableVersion="3" showDrill="0" useAutoFormatting="1" subtotalHiddenItems="1" rowGrandTotals="0" colGrandTotals="0" itemPrintTitles="1" createdVersion="6" indent="0" compact="0" compactData="0" multipleFieldFilters="0" fieldListSortAscending="1">
  <location ref="A1:I9" firstHeaderRow="1" firstDataRow="1" firstDataCol="8"/>
  <pivotFields count="9">
    <pivotField name="SAP Nr"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name="Customer Name" axis="axisRow" compact="0" allDrilled="1" outline="0" subtotalTop="0" showAll="0" dataSourceSort="1" defaultSubtotal="0" defaultAttributeDrillState="1">
      <items count="1">
        <item x="0"/>
      </items>
    </pivotField>
    <pivotField name="Status RPA"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name="Approved" axis="axisRow" compact="0" allDrilled="1" outline="0" subtotalTop="0" showAll="0" dataSourceSort="1" defaultSubtotal="0" defaultAttributeDrillState="1">
      <items count="1">
        <item x="0"/>
      </items>
    </pivotField>
    <pivotField name="Approved At" axis="axisRow" compact="0" allDrilled="1" outline="0" subtotalTop="0" showAll="0" defaultSubtotal="0" defaultAttributeDrillState="1">
      <items count="8">
        <item x="1"/>
        <item x="2"/>
        <item x="3"/>
        <item x="4"/>
        <item x="5"/>
        <item x="6"/>
        <item x="7"/>
        <item x="0"/>
      </items>
    </pivotField>
    <pivotField axis="axisRow" compact="0" allDrilled="1" outline="0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name="Created From" axis="axisRow" compact="0" allDrilled="1" outline="0" subtotalTop="0" showAll="0" dataSourceSort="1" defaultSubtotal="0" defaultAttributeDrillState="1">
      <items count="1">
        <item x="0"/>
      </items>
    </pivotField>
    <pivotField name="Created At"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</pivotFields>
  <rowFields count="8">
    <field x="5"/>
    <field x="0"/>
    <field x="1"/>
    <field x="2"/>
    <field x="6"/>
    <field x="7"/>
    <field x="3"/>
    <field x="4"/>
  </rowFields>
  <rowItems count="8">
    <i>
      <x/>
      <x/>
      <x/>
      <x/>
      <x/>
      <x/>
      <x/>
      <x v="7"/>
    </i>
    <i>
      <x v="1"/>
      <x v="1"/>
      <x/>
      <x v="1"/>
      <x/>
      <x v="1"/>
      <x/>
      <x/>
    </i>
    <i>
      <x v="2"/>
      <x v="2"/>
      <x/>
      <x v="2"/>
      <x/>
      <x v="2"/>
      <x/>
      <x v="1"/>
    </i>
    <i>
      <x v="3"/>
      <x v="3"/>
      <x/>
      <x/>
      <x/>
      <x v="3"/>
      <x/>
      <x v="2"/>
    </i>
    <i>
      <x v="4"/>
      <x v="4"/>
      <x/>
      <x v="1"/>
      <x/>
      <x v="4"/>
      <x/>
      <x v="3"/>
    </i>
    <i>
      <x v="5"/>
      <x v="5"/>
      <x/>
      <x v="2"/>
      <x/>
      <x v="5"/>
      <x/>
      <x v="4"/>
    </i>
    <i>
      <x v="6"/>
      <x v="6"/>
      <x/>
      <x/>
      <x/>
      <x v="6"/>
      <x/>
      <x v="5"/>
    </i>
    <i>
      <x v="7"/>
      <x v="7"/>
      <x/>
      <x v="1"/>
      <x/>
      <x v="7"/>
      <x/>
      <x v="6"/>
    </i>
  </rowItems>
  <colItems count="1">
    <i/>
  </colItems>
  <dataFields count="1">
    <dataField name="ID Count" fld="8" subtotal="count" baseField="4" baseItem="3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ID"/>
    <pivotHierarchy dragToData="1"/>
    <pivotHierarchy dragToData="1" caption="Count of ID"/>
  </pivotHierarchies>
  <pivotTableStyleInfo name="PivotStyleLight9" showRowHeaders="1" showColHeaders="1" showRowStripes="0" showColStripes="0" showLastColumn="1"/>
  <rowHierarchiesUsage count="8">
    <rowHierarchyUsage hierarchyUsage="29"/>
    <rowHierarchyUsage hierarchyUsage="33"/>
    <rowHierarchyUsage hierarchyUsage="2"/>
    <rowHierarchyUsage hierarchyUsage="34"/>
    <rowHierarchyUsage hierarchyUsage="21"/>
    <rowHierarchyUsage hierarchyUsage="22"/>
    <rowHierarchyUsage hierarchyUsage="35"/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PAStatusTable]"/>
        <x15:activeTabTopLevelEntity name="[Adresses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ieldRules" displayName="FieldRules" ref="I3:P34" totalsRowShown="0" headerRowDxfId="169" dataDxfId="168" tableBorderDxfId="167">
  <autoFilter ref="I3:P34" xr:uid="{00000000-0009-0000-0100-000003000000}"/>
  <tableColumns count="8">
    <tableColumn id="2" xr3:uid="{00000000-0010-0000-0000-000002000000}" name="Control Name" dataDxfId="166"/>
    <tableColumn id="24" xr3:uid="{00000000-0010-0000-0000-000018000000}" name="[KUNA]" dataDxfId="165"/>
    <tableColumn id="15" xr3:uid="{00000000-0010-0000-0000-00000F000000}" name="[KUNW]" dataDxfId="164"/>
    <tableColumn id="20" xr3:uid="{00000000-0010-0000-0000-000014000000}" name="[0361]" dataDxfId="163"/>
    <tableColumn id="21" xr3:uid="{00000000-0010-0000-0000-000015000000}" name="[2561]" dataDxfId="162"/>
    <tableColumn id="22" xr3:uid="{00000000-0010-0000-0000-000016000000}" name="[2961]" dataDxfId="161"/>
    <tableColumn id="23" xr3:uid="{00000000-0010-0000-0000-000017000000}" name="[3661]" dataDxfId="160"/>
    <tableColumn id="1" xr3:uid="{00000000-0010-0000-0000-000001000000}" name="ObjectType" dataDxfId="15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dressesTable" displayName="AdressesTable" ref="A1:Y9" totalsRowShown="0" headerRowDxfId="158" dataDxfId="156" headerRowBorderDxfId="157" tableBorderDxfId="155">
  <autoFilter ref="A1:Y9" xr:uid="{00000000-0009-0000-0100-000004000000}"/>
  <tableColumns count="25">
    <tableColumn id="1" xr3:uid="{00000000-0010-0000-0100-000001000000}" name="ID" dataDxfId="154"/>
    <tableColumn id="26" xr3:uid="{00000000-0010-0000-0100-00001A000000}" name="AccountSapNr" dataDxfId="153"/>
    <tableColumn id="2" xr3:uid="{00000000-0010-0000-0100-000002000000}" name="CustomerFirstName" dataDxfId="152"/>
    <tableColumn id="3" xr3:uid="{00000000-0010-0000-0100-000003000000}" name="CustomerSecondName" dataDxfId="151"/>
    <tableColumn id="4" xr3:uid="{00000000-0010-0000-0100-000004000000}" name="CustomerThirdName" dataDxfId="150"/>
    <tableColumn id="5" xr3:uid="{00000000-0010-0000-0100-000005000000}" name="CustomerForthName" dataDxfId="149"/>
    <tableColumn id="6" xr3:uid="{00000000-0010-0000-0100-000006000000}" name="LegalFormDescription" dataDxfId="148"/>
    <tableColumn id="7" xr3:uid="{00000000-0010-0000-0100-000007000000}" name="Street" dataDxfId="147"/>
    <tableColumn id="8" xr3:uid="{00000000-0010-0000-0100-000008000000}" name="StreetNumber" dataDxfId="146"/>
    <tableColumn id="9" xr3:uid="{00000000-0010-0000-0100-000009000000}" name="SecondStreet" dataDxfId="145"/>
    <tableColumn id="10" xr3:uid="{00000000-0010-0000-0100-00000A000000}" name="ForthStreet" dataDxfId="144"/>
    <tableColumn id="11" xr3:uid="{00000000-0010-0000-0100-00000B000000}" name="Area" dataDxfId="143"/>
    <tableColumn id="12" xr3:uid="{00000000-0010-0000-0100-00000C000000}" name="Postcode" dataDxfId="142"/>
    <tableColumn id="13" xr3:uid="{00000000-0010-0000-0100-00000D000000}" name="City" dataDxfId="141"/>
    <tableColumn id="14" xr3:uid="{00000000-0010-0000-0100-00000E000000}" name="Country" dataDxfId="140"/>
    <tableColumn id="15" xr3:uid="{00000000-0010-0000-0100-00000F000000}" name="Region" dataDxfId="139"/>
    <tableColumn id="16" xr3:uid="{00000000-0010-0000-0100-000010000000}" name="Language" dataDxfId="138"/>
    <tableColumn id="17" xr3:uid="{00000000-0010-0000-0100-000011000000}" name="Telephone" dataDxfId="137"/>
    <tableColumn id="18" xr3:uid="{00000000-0010-0000-0100-000012000000}" name="Fax" dataDxfId="136"/>
    <tableColumn id="19" xr3:uid="{00000000-0010-0000-0100-000013000000}" name="Email" dataDxfId="135" dataCellStyle="Hyperlink"/>
    <tableColumn id="20" xr3:uid="{00000000-0010-0000-0100-000014000000}" name="EntiltedForEmailNotification" dataDxfId="134"/>
    <tableColumn id="28" xr3:uid="{00000000-0010-0000-0100-00001C000000}" name="UserCreated" dataDxfId="133"/>
    <tableColumn id="29" xr3:uid="{00000000-0010-0000-0100-00001D000000}" name="TimeStampCreated" dataDxfId="132"/>
    <tableColumn id="30" xr3:uid="{00000000-0010-0000-0100-00001E000000}" name="UserModified" dataDxfId="131"/>
    <tableColumn id="31" xr3:uid="{00000000-0010-0000-0100-00001F000000}" name="TimeStampModified" dataDxfId="1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ControlsTable" displayName="ControlsTable" ref="A1:O9" totalsRowShown="0" headerRowDxfId="129" dataDxfId="128" tableBorderDxfId="127">
  <autoFilter ref="A1:O9" xr:uid="{00000000-0009-0000-0100-000005000000}"/>
  <tableColumns count="15">
    <tableColumn id="1" xr3:uid="{00000000-0010-0000-0200-000001000000}" name="ID" dataDxfId="126"/>
    <tableColumn id="2" xr3:uid="{00000000-0010-0000-0200-000002000000}" name="Vendor" dataDxfId="125"/>
    <tableColumn id="3" xr3:uid="{00000000-0010-0000-0200-000003000000}" name="GroupKey" dataDxfId="124"/>
    <tableColumn id="4" xr3:uid="{00000000-0010-0000-0200-000004000000}" name="TaxNumberOne" dataDxfId="123"/>
    <tableColumn id="5" xr3:uid="{00000000-0010-0000-0200-000005000000}" name="TaxNumberSecond" dataDxfId="122"/>
    <tableColumn id="6" xr3:uid="{00000000-0010-0000-0200-000006000000}" name="TaxNumberThird" dataDxfId="121"/>
    <tableColumn id="7" xr3:uid="{00000000-0010-0000-0200-000007000000}" name="TaxNumberForth" dataDxfId="120"/>
    <tableColumn id="8" xr3:uid="{00000000-0010-0000-0200-000008000000}" name="IsNaturalPerson" dataDxfId="119"/>
    <tableColumn id="9" xr3:uid="{00000000-0010-0000-0200-000009000000}" name="VatRegistrationNumber" dataDxfId="118"/>
    <tableColumn id="10" xr3:uid="{00000000-0010-0000-0200-00000A000000}" name="CustomerSegmentaion" dataDxfId="117"/>
    <tableColumn id="11" xr3:uid="{00000000-0010-0000-0200-00000B000000}" name="EntiltedForWebShop" dataDxfId="116"/>
    <tableColumn id="12" xr3:uid="{00000000-0010-0000-0200-00000C000000}" name="UserCreated" dataDxfId="115"/>
    <tableColumn id="13" xr3:uid="{00000000-0010-0000-0200-00000D000000}" name="TimeStampCreated" dataDxfId="114"/>
    <tableColumn id="14" xr3:uid="{00000000-0010-0000-0200-00000E000000}" name="UserModified" dataDxfId="113"/>
    <tableColumn id="15" xr3:uid="{00000000-0010-0000-0200-00000F000000}" name="TimeStampModified" dataDxfId="11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ContactsTable" displayName="ContactsTable" ref="A1:M2" totalsRowShown="0" headerRowDxfId="111" dataDxfId="110" tableBorderDxfId="109">
  <autoFilter ref="A1:M2" xr:uid="{00000000-0009-0000-0100-000006000000}"/>
  <tableColumns count="13">
    <tableColumn id="1" xr3:uid="{00000000-0010-0000-0300-000001000000}" name="ID" dataDxfId="108"/>
    <tableColumn id="3" xr3:uid="{00000000-0010-0000-0300-000003000000}" name="Name" dataDxfId="107"/>
    <tableColumn id="4" xr3:uid="{00000000-0010-0000-0300-000004000000}" name="FirstName" dataDxfId="106"/>
    <tableColumn id="5" xr3:uid="{00000000-0010-0000-0300-000005000000}" name="Department" dataDxfId="105"/>
    <tableColumn id="6" xr3:uid="{00000000-0010-0000-0300-000006000000}" name="ContactFunction" dataDxfId="104"/>
    <tableColumn id="7" xr3:uid="{00000000-0010-0000-0300-000007000000}" name="Telephone" dataDxfId="103"/>
    <tableColumn id="8" xr3:uid="{00000000-0010-0000-0300-000008000000}" name="Fax" dataDxfId="102"/>
    <tableColumn id="9" xr3:uid="{00000000-0010-0000-0300-000009000000}" name="Email" dataDxfId="101"/>
    <tableColumn id="10" xr3:uid="{00000000-0010-0000-0300-00000A000000}" name="Language" dataDxfId="100"/>
    <tableColumn id="11" xr3:uid="{00000000-0010-0000-0300-00000B000000}" name="UserCreated" dataDxfId="99"/>
    <tableColumn id="12" xr3:uid="{00000000-0010-0000-0300-00000C000000}" name="TimeStampCreated" dataDxfId="98"/>
    <tableColumn id="13" xr3:uid="{00000000-0010-0000-0300-00000D000000}" name="UserModified" dataDxfId="97"/>
    <tableColumn id="14" xr3:uid="{00000000-0010-0000-0300-00000E000000}" name="TimeStampModified" dataDxfId="9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SalesTable" displayName="SalesTable" ref="A1:M9" totalsRowShown="0" headerRowDxfId="95" dataDxfId="94" tableBorderDxfId="93">
  <autoFilter ref="A1:M9" xr:uid="{00000000-0009-0000-0100-000007000000}"/>
  <tableColumns count="13">
    <tableColumn id="1" xr3:uid="{00000000-0010-0000-0400-000001000000}" name="ID" dataDxfId="92"/>
    <tableColumn id="2" xr3:uid="{00000000-0010-0000-0400-000002000000}" name="SalesDistrict" dataDxfId="91"/>
    <tableColumn id="3" xr3:uid="{00000000-0010-0000-0400-000003000000}" name="SalesOffice" dataDxfId="90"/>
    <tableColumn id="4" xr3:uid="{00000000-0010-0000-0400-000004000000}" name="SalesGroup" dataDxfId="89"/>
    <tableColumn id="5" xr3:uid="{00000000-0010-0000-0400-000005000000}" name="CustomerGroup" dataDxfId="88"/>
    <tableColumn id="6" xr3:uid="{00000000-0010-0000-0400-000006000000}" name="AbcClass" dataDxfId="87"/>
    <tableColumn id="7" xr3:uid="{00000000-0010-0000-0400-000007000000}" name="SalesCurrency" dataDxfId="86"/>
    <tableColumn id="8" xr3:uid="{00000000-0010-0000-0400-000008000000}" name="ExchangeRateType" dataDxfId="85"/>
    <tableColumn id="9" xr3:uid="{00000000-0010-0000-0400-000009000000}" name="PriceList" dataDxfId="84"/>
    <tableColumn id="10" xr3:uid="{00000000-0010-0000-0400-00000A000000}" name="UserCreated" dataDxfId="83"/>
    <tableColumn id="11" xr3:uid="{00000000-0010-0000-0400-00000B000000}" name="TimeStampCreated" dataDxfId="82"/>
    <tableColumn id="12" xr3:uid="{00000000-0010-0000-0400-00000C000000}" name="UserModified" dataDxfId="81"/>
    <tableColumn id="13" xr3:uid="{00000000-0010-0000-0400-00000D000000}" name="TimeStampModified" dataDxfId="8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hippingsTable" displayName="ShippingsTable" ref="A1:P9" totalsRowShown="0" headerRowDxfId="79" dataDxfId="78" tableBorderDxfId="77">
  <autoFilter ref="A1:P9" xr:uid="{00000000-0009-0000-0100-000008000000}"/>
  <tableColumns count="16">
    <tableColumn id="1" xr3:uid="{00000000-0010-0000-0500-000001000000}" name="ID" dataDxfId="76"/>
    <tableColumn id="2" xr3:uid="{00000000-0010-0000-0500-000002000000}" name="DeliveryPriority" dataDxfId="75"/>
    <tableColumn id="3" xr3:uid="{00000000-0010-0000-0500-000003000000}" name="ShippingConditions" dataDxfId="74"/>
    <tableColumn id="4" xr3:uid="{00000000-0010-0000-0500-000004000000}" name="DeliveryPlant" dataDxfId="73"/>
    <tableColumn id="5" xr3:uid="{00000000-0010-0000-0500-000005000000}" name="OrderCombination" dataDxfId="72"/>
    <tableColumn id="6" xr3:uid="{00000000-0010-0000-0500-000006000000}" name="BoundleLabels" dataDxfId="71"/>
    <tableColumn id="7" xr3:uid="{00000000-0010-0000-0500-000007000000}" name="RollLabels" dataDxfId="70"/>
    <tableColumn id="8" xr3:uid="{00000000-0010-0000-0500-000008000000}" name="TransportZone" dataDxfId="69"/>
    <tableColumn id="9" xr3:uid="{00000000-0010-0000-0500-000009000000}" name="NoFreightCost" dataDxfId="68"/>
    <tableColumn id="10" xr3:uid="{00000000-0010-0000-0500-00000A000000}" name="CompleteDeliveryRequired" dataDxfId="67"/>
    <tableColumn id="11" xr3:uid="{00000000-0010-0000-0500-00000B000000}" name="PartialDeliveryPerItem" dataDxfId="66"/>
    <tableColumn id="12" xr3:uid="{00000000-0010-0000-0500-00000C000000}" name="MaxPartialDeliveries" dataDxfId="65"/>
    <tableColumn id="13" xr3:uid="{00000000-0010-0000-0500-00000D000000}" name="UserCreated" dataDxfId="64"/>
    <tableColumn id="14" xr3:uid="{00000000-0010-0000-0500-00000E000000}" name="TimeStampCreated" dataDxfId="63"/>
    <tableColumn id="15" xr3:uid="{00000000-0010-0000-0500-00000F000000}" name="UserModified" dataDxfId="62"/>
    <tableColumn id="16" xr3:uid="{00000000-0010-0000-0500-000010000000}" name="TimeStampModified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BillingsTable" displayName="BillingsTable" ref="A1:L9" totalsRowShown="0" headerRowDxfId="60" dataDxfId="59" tableBorderDxfId="58">
  <autoFilter ref="A1:L9" xr:uid="{00000000-0009-0000-0100-000009000000}"/>
  <tableColumns count="12">
    <tableColumn id="1" xr3:uid="{00000000-0010-0000-0600-000001000000}" name="ID" dataDxfId="57"/>
    <tableColumn id="2" xr3:uid="{00000000-0010-0000-0600-000002000000}" name="Rebate" dataDxfId="56"/>
    <tableColumn id="3" xr3:uid="{00000000-0010-0000-0600-000003000000}" name="InvoicingDates" dataDxfId="55"/>
    <tableColumn id="4" xr3:uid="{00000000-0010-0000-0600-000004000000}" name="InvoicingListDates" dataDxfId="54"/>
    <tableColumn id="5" xr3:uid="{00000000-0010-0000-0600-000005000000}" name="Incoterms" dataDxfId="53"/>
    <tableColumn id="6" xr3:uid="{00000000-0010-0000-0600-000006000000}" name="IncotermsCity" dataDxfId="52"/>
    <tableColumn id="7" xr3:uid="{00000000-0010-0000-0600-000007000000}" name="TermsOfPayment" dataDxfId="51"/>
    <tableColumn id="8" xr3:uid="{00000000-0010-0000-0600-000008000000}" name="AccountAssigmentGroup" dataDxfId="50"/>
    <tableColumn id="9" xr3:uid="{00000000-0010-0000-0600-000009000000}" name="UserCreated" dataDxfId="49"/>
    <tableColumn id="10" xr3:uid="{00000000-0010-0000-0600-00000A000000}" name="TimeStampCreated" dataDxfId="48"/>
    <tableColumn id="11" xr3:uid="{00000000-0010-0000-0600-00000B000000}" name="UserModified" dataDxfId="47"/>
    <tableColumn id="12" xr3:uid="{00000000-0010-0000-0600-00000C000000}" name="TimeStampModified" dataDxfId="4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PartnersTable" displayName="PartnersTable" ref="A1:H2" totalsRowShown="0" headerRowDxfId="45" dataDxfId="44" tableBorderDxfId="43">
  <autoFilter ref="A1:H2" xr:uid="{00000000-0009-0000-0100-00000A000000}"/>
  <tableColumns count="8">
    <tableColumn id="1" xr3:uid="{00000000-0010-0000-0700-000001000000}" name="ID" dataDxfId="42"/>
    <tableColumn id="3" xr3:uid="{00000000-0010-0000-0700-000003000000}" name="PartnerFunction" dataDxfId="41"/>
    <tableColumn id="4" xr3:uid="{00000000-0010-0000-0700-000004000000}" name="Nummber" dataDxfId="40"/>
    <tableColumn id="5" xr3:uid="{00000000-0010-0000-0700-000005000000}" name="Name" dataDxfId="39"/>
    <tableColumn id="6" xr3:uid="{00000000-0010-0000-0700-000006000000}" name="UserCreated" dataDxfId="38"/>
    <tableColumn id="7" xr3:uid="{00000000-0010-0000-0700-000007000000}" name="TimeStampCreated" dataDxfId="37"/>
    <tableColumn id="8" xr3:uid="{00000000-0010-0000-0700-000008000000}" name="UserModified" dataDxfId="36"/>
    <tableColumn id="9" xr3:uid="{00000000-0010-0000-0700-000009000000}" name="TimeStampModified" dataDxfId="35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ExtrasTable" displayName="ExtrasTable" ref="A1:G9" totalsRowShown="0" headerRowDxfId="34" dataDxfId="33" tableBorderDxfId="32">
  <autoFilter ref="A1:G9" xr:uid="{00000000-0009-0000-0100-00000C000000}"/>
  <tableColumns count="7">
    <tableColumn id="1" xr3:uid="{00000000-0010-0000-0800-000001000000}" name="ID" dataDxfId="31"/>
    <tableColumn id="11" xr3:uid="{00000000-0010-0000-0800-00000B000000}" name="TextMinimumQuantitySurcharge" dataDxfId="30"/>
    <tableColumn id="12" xr3:uid="{00000000-0010-0000-0800-00000C000000}" name="TextRemarks" dataDxfId="29"/>
    <tableColumn id="13" xr3:uid="{00000000-0010-0000-0800-00000D000000}" name="UserCreated" dataDxfId="28"/>
    <tableColumn id="14" xr3:uid="{00000000-0010-0000-0800-00000E000000}" name="TimeStampCreated" dataDxfId="27"/>
    <tableColumn id="15" xr3:uid="{00000000-0010-0000-0800-00000F000000}" name="UserModified" dataDxfId="26"/>
    <tableColumn id="16" xr3:uid="{00000000-0010-0000-0800-000010000000}" name="TimeStampModified" dataDxfId="25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RPAStatusTable" displayName="RPAStatusTable" ref="A1:H9" totalsRowShown="0" headerRowDxfId="24" dataDxfId="23" tableBorderDxfId="22">
  <autoFilter ref="A1:H9" xr:uid="{00000000-0009-0000-0100-00000B000000}"/>
  <tableColumns count="8">
    <tableColumn id="1" xr3:uid="{00000000-0010-0000-0900-000001000000}" name="ID" dataDxfId="21"/>
    <tableColumn id="4" xr3:uid="{00000000-0010-0000-0900-000004000000}" name="AccountGroup" dataDxfId="20"/>
    <tableColumn id="3" xr3:uid="{00000000-0010-0000-0900-000003000000}" name="SalesOrganization" dataDxfId="19"/>
    <tableColumn id="2" xr3:uid="{00000000-0010-0000-0900-000002000000}" name="Channel" dataDxfId="18"/>
    <tableColumn id="14" xr3:uid="{00000000-0010-0000-0900-00000E000000}" name="AccountSapNr" dataDxfId="17"/>
    <tableColumn id="8" xr3:uid="{00000000-0010-0000-0900-000008000000}" name="Status" dataDxfId="16"/>
    <tableColumn id="9" xr3:uid="{00000000-0010-0000-0900-000009000000}" name="UserApproved" dataDxfId="15"/>
    <tableColumn id="10" xr3:uid="{00000000-0010-0000-0900-00000A000000}" name="TimeStampApproved" dataDxfId="14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English" displayName="English" ref="A1:D163" totalsRowShown="0" headerRowDxfId="13" dataDxfId="12" tableBorderDxfId="11">
  <autoFilter ref="A1:D163" xr:uid="{00000000-0009-0000-0100-000002000000}"/>
  <tableColumns count="4">
    <tableColumn id="1" xr3:uid="{00000000-0010-0000-0A00-000001000000}" name="String to Match" dataDxfId="10"/>
    <tableColumn id="2" xr3:uid="{00000000-0010-0000-0A00-000002000000}" name="Caption Value" dataDxfId="9"/>
    <tableColumn id="3" xr3:uid="{00000000-0010-0000-0A00-000003000000}" name="ControlTipText Value" dataDxfId="8"/>
    <tableColumn id="4" xr3:uid="{00000000-0010-0000-0A00-000004000000}" name="ObjectType" dataDxfId="7"/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B000000}" name="German" displayName="German" ref="A1:D18" totalsRowShown="0" headerRowDxfId="6" dataDxfId="5" tableBorderDxfId="4">
  <autoFilter ref="A1:D18" xr:uid="{00000000-0009-0000-0100-000001000000}"/>
  <tableColumns count="4">
    <tableColumn id="1" xr3:uid="{00000000-0010-0000-0B00-000001000000}" name="String to Match" dataDxfId="3"/>
    <tableColumn id="2" xr3:uid="{00000000-0010-0000-0B00-000002000000}" name="Caption Value" dataDxfId="2"/>
    <tableColumn id="3" xr3:uid="{00000000-0010-0000-0B00-000003000000}" name="ControlTipText Value" dataDxfId="1"/>
    <tableColumn id="4" xr3:uid="{00000000-0010-0000-0B00-000004000000}" name="ObjectType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Zoltan.Toth@email.com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telier@kallen.com" TargetMode="External"/><Relationship Id="rId3" Type="http://schemas.openxmlformats.org/officeDocument/2006/relationships/hyperlink" Target="mailto:Atelier@kallen.com" TargetMode="External"/><Relationship Id="rId7" Type="http://schemas.openxmlformats.org/officeDocument/2006/relationships/hyperlink" Target="mailto:Atelier@kallen.com" TargetMode="External"/><Relationship Id="rId2" Type="http://schemas.openxmlformats.org/officeDocument/2006/relationships/hyperlink" Target="mailto:Atelier@kallen.com" TargetMode="External"/><Relationship Id="rId1" Type="http://schemas.openxmlformats.org/officeDocument/2006/relationships/hyperlink" Target="mailto:Atelier@kallen.com" TargetMode="External"/><Relationship Id="rId6" Type="http://schemas.openxmlformats.org/officeDocument/2006/relationships/hyperlink" Target="mailto:Atelier@kallen.com" TargetMode="External"/><Relationship Id="rId5" Type="http://schemas.openxmlformats.org/officeDocument/2006/relationships/hyperlink" Target="mailto:Atelier@kallen.com" TargetMode="External"/><Relationship Id="rId10" Type="http://schemas.openxmlformats.org/officeDocument/2006/relationships/table" Target="../tables/table2.xml"/><Relationship Id="rId4" Type="http://schemas.openxmlformats.org/officeDocument/2006/relationships/hyperlink" Target="mailto:Atelier@kallen.com" TargetMode="Externa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nager">
    <tabColor theme="1" tint="0.249977111117893"/>
  </sheetPr>
  <dimension ref="A2:Y107"/>
  <sheetViews>
    <sheetView showGridLines="0" tabSelected="1" topLeftCell="Q1" workbookViewId="0">
      <selection activeCell="U13" sqref="U13"/>
    </sheetView>
  </sheetViews>
  <sheetFormatPr defaultColWidth="9.140625" defaultRowHeight="15" outlineLevelCol="1" x14ac:dyDescent="0.25"/>
  <cols>
    <col min="1" max="1" width="0" hidden="1" customWidth="1" outlineLevel="1"/>
    <col min="2" max="2" width="14.140625" hidden="1" customWidth="1" outlineLevel="1"/>
    <col min="3" max="3" width="13.140625" hidden="1" customWidth="1" outlineLevel="1"/>
    <col min="4" max="4" width="17.28515625" hidden="1" customWidth="1" outlineLevel="1"/>
    <col min="5" max="5" width="32.28515625" hidden="1" customWidth="1" outlineLevel="1"/>
    <col min="6" max="6" width="12.28515625" hidden="1" customWidth="1" outlineLevel="1"/>
    <col min="7" max="8" width="0" hidden="1" customWidth="1" outlineLevel="1"/>
    <col min="9" max="9" width="22.5703125" hidden="1" customWidth="1" outlineLevel="1"/>
    <col min="10" max="10" width="12.28515625" hidden="1" customWidth="1" outlineLevel="1"/>
    <col min="11" max="11" width="13" hidden="1" customWidth="1" outlineLevel="1"/>
    <col min="12" max="15" width="11" hidden="1" customWidth="1" outlineLevel="1"/>
    <col min="16" max="16" width="13.42578125" hidden="1" customWidth="1" outlineLevel="1"/>
    <col min="17" max="17" width="9.140625" collapsed="1"/>
    <col min="18" max="18" width="18.7109375" bestFit="1" customWidth="1"/>
    <col min="19" max="19" width="21.5703125" bestFit="1" customWidth="1"/>
    <col min="20" max="20" width="32.7109375" bestFit="1" customWidth="1"/>
    <col min="21" max="21" width="29" bestFit="1" customWidth="1"/>
    <col min="22" max="23" width="9.28515625" customWidth="1"/>
  </cols>
  <sheetData>
    <row r="2" spans="2:25" ht="15.75" x14ac:dyDescent="0.25">
      <c r="B2" s="120" t="s">
        <v>348</v>
      </c>
      <c r="C2" s="120"/>
      <c r="D2" s="120"/>
      <c r="E2" s="120"/>
      <c r="F2" s="120"/>
      <c r="G2" s="120"/>
      <c r="H2" s="3"/>
      <c r="I2" s="120" t="s">
        <v>1998</v>
      </c>
      <c r="J2" s="120"/>
      <c r="K2" s="120"/>
      <c r="L2" s="120"/>
      <c r="M2" s="120"/>
      <c r="N2" s="120"/>
      <c r="O2" s="120"/>
      <c r="P2" s="120"/>
      <c r="Q2" s="3"/>
      <c r="R2" s="120" t="s">
        <v>1999</v>
      </c>
      <c r="S2" s="120"/>
      <c r="T2" s="120"/>
      <c r="U2" s="99"/>
      <c r="V2" s="99"/>
      <c r="W2" s="99"/>
      <c r="X2" s="99"/>
      <c r="Y2" s="99"/>
    </row>
    <row r="3" spans="2:25" ht="15.75" x14ac:dyDescent="0.25">
      <c r="B3" s="25" t="s">
        <v>95</v>
      </c>
      <c r="C3" s="26" t="s">
        <v>349</v>
      </c>
      <c r="D3" s="26"/>
      <c r="E3" s="26"/>
      <c r="F3" s="26"/>
      <c r="G3" s="27"/>
      <c r="H3" s="3"/>
      <c r="I3" s="83" t="s">
        <v>1993</v>
      </c>
      <c r="J3" s="84" t="s">
        <v>1956</v>
      </c>
      <c r="K3" s="85" t="s">
        <v>1957</v>
      </c>
      <c r="L3" s="86" t="s">
        <v>1958</v>
      </c>
      <c r="M3" s="87" t="s">
        <v>1959</v>
      </c>
      <c r="N3" s="87" t="s">
        <v>1960</v>
      </c>
      <c r="O3" s="88" t="s">
        <v>1961</v>
      </c>
      <c r="P3" s="89" t="s">
        <v>167</v>
      </c>
      <c r="Q3" s="81"/>
      <c r="R3" s="101" t="s">
        <v>1877</v>
      </c>
      <c r="S3" s="102" t="s">
        <v>1878</v>
      </c>
      <c r="T3" s="103" t="s">
        <v>1904</v>
      </c>
    </row>
    <row r="4" spans="2:25" ht="15.75" x14ac:dyDescent="0.25">
      <c r="B4" s="23" t="s">
        <v>304</v>
      </c>
      <c r="C4" s="12" t="str">
        <f ca="1">CELL("filename")</f>
        <v>D:\Developer\GitHub\debitor-crud\[refactor Customers Manager.xlsm]Manager</v>
      </c>
      <c r="D4" s="12"/>
      <c r="E4" s="12"/>
      <c r="F4" s="12"/>
      <c r="G4" s="14"/>
      <c r="H4" s="3"/>
      <c r="I4" s="54" t="s">
        <v>1963</v>
      </c>
      <c r="J4" s="58" t="s">
        <v>1964</v>
      </c>
      <c r="K4" s="59" t="s">
        <v>1964</v>
      </c>
      <c r="L4" s="55"/>
      <c r="M4" s="56"/>
      <c r="N4" s="56"/>
      <c r="O4" s="57"/>
      <c r="P4" s="90" t="s">
        <v>1962</v>
      </c>
      <c r="Q4" s="82"/>
      <c r="R4" s="94" t="s">
        <v>36</v>
      </c>
      <c r="S4" s="100" t="s">
        <v>36</v>
      </c>
      <c r="T4" s="105" t="s">
        <v>2001</v>
      </c>
    </row>
    <row r="5" spans="2:25" ht="15.75" x14ac:dyDescent="0.25">
      <c r="B5" s="28" t="s">
        <v>305</v>
      </c>
      <c r="C5" s="15" t="str">
        <f ca="1">MID(C4, FIND("[", C4) + 1, FIND("]", C4) - FIND("[", C4) - 1)</f>
        <v>refactor Customers Manager.xlsm</v>
      </c>
      <c r="D5" s="15"/>
      <c r="E5" s="15"/>
      <c r="F5" s="15"/>
      <c r="G5" s="17"/>
      <c r="H5" s="3"/>
      <c r="I5" s="54" t="s">
        <v>1965</v>
      </c>
      <c r="J5" s="55" t="s">
        <v>1966</v>
      </c>
      <c r="K5" s="57" t="s">
        <v>1966</v>
      </c>
      <c r="L5" s="55" t="s">
        <v>1966</v>
      </c>
      <c r="M5" s="56" t="s">
        <v>1966</v>
      </c>
      <c r="N5" s="56" t="s">
        <v>1964</v>
      </c>
      <c r="O5" s="57" t="s">
        <v>1966</v>
      </c>
      <c r="P5" s="90" t="s">
        <v>1962</v>
      </c>
      <c r="Q5" s="82"/>
      <c r="R5" s="94" t="s">
        <v>1870</v>
      </c>
      <c r="S5" s="100" t="s">
        <v>1870</v>
      </c>
      <c r="T5" s="95"/>
    </row>
    <row r="6" spans="2:25" ht="15.75" x14ac:dyDescent="0.25">
      <c r="B6" s="29"/>
      <c r="C6" s="11"/>
      <c r="D6" s="11"/>
      <c r="E6" s="11"/>
      <c r="F6" s="11"/>
      <c r="G6" s="11"/>
      <c r="H6" s="3"/>
      <c r="I6" s="54" t="s">
        <v>1967</v>
      </c>
      <c r="J6" s="55" t="s">
        <v>1964</v>
      </c>
      <c r="K6" s="57" t="s">
        <v>1964</v>
      </c>
      <c r="L6" s="55"/>
      <c r="M6" s="56"/>
      <c r="N6" s="56"/>
      <c r="O6" s="57"/>
      <c r="P6" s="90" t="s">
        <v>1962</v>
      </c>
      <c r="Q6" s="82"/>
      <c r="R6" s="94"/>
      <c r="S6" s="100"/>
      <c r="T6" s="95"/>
    </row>
    <row r="7" spans="2:25" ht="15.75" x14ac:dyDescent="0.25">
      <c r="B7" s="18" t="s">
        <v>95</v>
      </c>
      <c r="C7" s="19" t="s">
        <v>306</v>
      </c>
      <c r="D7" s="19" t="s">
        <v>307</v>
      </c>
      <c r="E7" s="19" t="s">
        <v>308</v>
      </c>
      <c r="F7" s="19" t="s">
        <v>309</v>
      </c>
      <c r="G7" s="20"/>
      <c r="H7" s="3"/>
      <c r="I7" s="54" t="s">
        <v>1968</v>
      </c>
      <c r="J7" s="55" t="s">
        <v>1964</v>
      </c>
      <c r="K7" s="57" t="s">
        <v>1964</v>
      </c>
      <c r="L7" s="55"/>
      <c r="M7" s="56"/>
      <c r="N7" s="56"/>
      <c r="O7" s="57"/>
      <c r="P7" s="90" t="s">
        <v>1962</v>
      </c>
      <c r="Q7" s="82"/>
      <c r="R7" s="94"/>
      <c r="S7" s="100"/>
      <c r="T7" s="95"/>
    </row>
    <row r="8" spans="2:25" ht="15.75" x14ac:dyDescent="0.25">
      <c r="B8" s="24" t="s">
        <v>2000</v>
      </c>
      <c r="C8" s="12" t="s">
        <v>310</v>
      </c>
      <c r="D8" s="13" t="s">
        <v>1994</v>
      </c>
      <c r="E8" s="12" t="str">
        <f t="shared" ref="E8:E15" ca="1" si="0">FileName &amp; "!" &amp; D8</f>
        <v>refactor Customers Manager.xlsm!Adresses</v>
      </c>
      <c r="F8" s="13" t="s">
        <v>1994</v>
      </c>
      <c r="G8" s="14"/>
      <c r="H8" s="3"/>
      <c r="I8" s="54" t="s">
        <v>1969</v>
      </c>
      <c r="J8" s="55" t="s">
        <v>1964</v>
      </c>
      <c r="K8" s="57" t="s">
        <v>1964</v>
      </c>
      <c r="L8" s="55"/>
      <c r="M8" s="56"/>
      <c r="N8" s="56"/>
      <c r="O8" s="57"/>
      <c r="P8" s="90" t="s">
        <v>1962</v>
      </c>
      <c r="Q8" s="82"/>
      <c r="R8" s="94"/>
      <c r="S8" s="100"/>
      <c r="T8" s="95"/>
    </row>
    <row r="9" spans="2:25" ht="15.75" x14ac:dyDescent="0.25">
      <c r="B9" s="24" t="s">
        <v>313</v>
      </c>
      <c r="C9" s="12" t="s">
        <v>310</v>
      </c>
      <c r="D9" s="13" t="s">
        <v>320</v>
      </c>
      <c r="E9" s="12" t="str">
        <f t="shared" ca="1" si="0"/>
        <v>refactor Customers Manager.xlsm!Controls</v>
      </c>
      <c r="F9" s="13" t="s">
        <v>320</v>
      </c>
      <c r="G9" s="14"/>
      <c r="H9" s="3"/>
      <c r="I9" s="54" t="s">
        <v>1970</v>
      </c>
      <c r="J9" s="55" t="s">
        <v>1964</v>
      </c>
      <c r="K9" s="57" t="s">
        <v>1964</v>
      </c>
      <c r="L9" s="55"/>
      <c r="M9" s="56"/>
      <c r="N9" s="56"/>
      <c r="O9" s="57"/>
      <c r="P9" s="90" t="s">
        <v>1962</v>
      </c>
      <c r="Q9" s="82"/>
      <c r="R9" s="94"/>
      <c r="S9" s="100"/>
      <c r="T9" s="95"/>
    </row>
    <row r="10" spans="2:25" x14ac:dyDescent="0.25">
      <c r="B10" s="24" t="s">
        <v>314</v>
      </c>
      <c r="C10" s="12" t="s">
        <v>310</v>
      </c>
      <c r="D10" s="13" t="s">
        <v>321</v>
      </c>
      <c r="E10" s="12" t="str">
        <f t="shared" ca="1" si="0"/>
        <v>refactor Customers Manager.xlsm!Contacts</v>
      </c>
      <c r="F10" s="13" t="s">
        <v>321</v>
      </c>
      <c r="G10" s="14"/>
      <c r="H10" s="4"/>
      <c r="I10" s="54" t="s">
        <v>1972</v>
      </c>
      <c r="J10" s="55" t="s">
        <v>1964</v>
      </c>
      <c r="K10" s="57"/>
      <c r="L10" s="55"/>
      <c r="M10" s="56"/>
      <c r="N10" s="56"/>
      <c r="O10" s="57"/>
      <c r="P10" s="90" t="s">
        <v>1971</v>
      </c>
      <c r="Q10" s="82"/>
      <c r="R10" s="94"/>
      <c r="S10" s="100"/>
      <c r="T10" s="95"/>
    </row>
    <row r="11" spans="2:25" x14ac:dyDescent="0.25">
      <c r="B11" s="24" t="s">
        <v>315</v>
      </c>
      <c r="C11" s="12" t="s">
        <v>310</v>
      </c>
      <c r="D11" s="13" t="s">
        <v>322</v>
      </c>
      <c r="E11" s="12" t="str">
        <f t="shared" ca="1" si="0"/>
        <v>refactor Customers Manager.xlsm!Sales</v>
      </c>
      <c r="F11" s="13" t="s">
        <v>322</v>
      </c>
      <c r="G11" s="14"/>
      <c r="H11" s="4"/>
      <c r="I11" s="54" t="s">
        <v>91</v>
      </c>
      <c r="J11" s="55"/>
      <c r="K11" s="57"/>
      <c r="L11" s="55"/>
      <c r="M11" s="56"/>
      <c r="N11" s="56"/>
      <c r="O11" s="57" t="s">
        <v>1964</v>
      </c>
      <c r="P11" s="90" t="s">
        <v>1962</v>
      </c>
      <c r="Q11" s="82"/>
      <c r="R11" s="96"/>
      <c r="S11" s="97"/>
      <c r="T11" s="98"/>
    </row>
    <row r="12" spans="2:25" x14ac:dyDescent="0.25">
      <c r="B12" s="24" t="s">
        <v>316</v>
      </c>
      <c r="C12" s="12" t="s">
        <v>310</v>
      </c>
      <c r="D12" s="13" t="s">
        <v>323</v>
      </c>
      <c r="E12" s="12" t="str">
        <f t="shared" ca="1" si="0"/>
        <v>refactor Customers Manager.xlsm!Shippings</v>
      </c>
      <c r="F12" s="13" t="s">
        <v>323</v>
      </c>
      <c r="G12" s="14"/>
      <c r="H12" s="4"/>
      <c r="I12" s="54" t="s">
        <v>1973</v>
      </c>
      <c r="J12" s="55" t="s">
        <v>1964</v>
      </c>
      <c r="K12" s="57"/>
      <c r="L12" s="55"/>
      <c r="M12" s="56"/>
      <c r="N12" s="56"/>
      <c r="O12" s="57"/>
      <c r="P12" s="90" t="s">
        <v>1971</v>
      </c>
      <c r="Q12" s="82"/>
    </row>
    <row r="13" spans="2:25" x14ac:dyDescent="0.25">
      <c r="B13" s="24" t="s">
        <v>317</v>
      </c>
      <c r="C13" s="12" t="s">
        <v>310</v>
      </c>
      <c r="D13" s="13" t="s">
        <v>324</v>
      </c>
      <c r="E13" s="12" t="str">
        <f t="shared" ca="1" si="0"/>
        <v>refactor Customers Manager.xlsm!Billings</v>
      </c>
      <c r="F13" s="13" t="s">
        <v>324</v>
      </c>
      <c r="G13" s="14"/>
      <c r="H13" s="4"/>
      <c r="I13" s="54" t="s">
        <v>1974</v>
      </c>
      <c r="J13" s="55" t="s">
        <v>1964</v>
      </c>
      <c r="K13" s="57"/>
      <c r="L13" s="55"/>
      <c r="M13" s="56"/>
      <c r="N13" s="56"/>
      <c r="O13" s="57"/>
      <c r="P13" s="90" t="s">
        <v>1962</v>
      </c>
      <c r="Q13" s="82"/>
    </row>
    <row r="14" spans="2:25" x14ac:dyDescent="0.25">
      <c r="B14" s="24" t="s">
        <v>318</v>
      </c>
      <c r="C14" s="12" t="s">
        <v>310</v>
      </c>
      <c r="D14" s="13" t="s">
        <v>325</v>
      </c>
      <c r="E14" s="12" t="str">
        <f t="shared" ca="1" si="0"/>
        <v>refactor Customers Manager.xlsm!Partners</v>
      </c>
      <c r="F14" s="13" t="s">
        <v>325</v>
      </c>
      <c r="G14" s="14"/>
      <c r="H14" s="4"/>
      <c r="I14" s="54" t="s">
        <v>93</v>
      </c>
      <c r="J14" s="55" t="s">
        <v>1964</v>
      </c>
      <c r="K14" s="57"/>
      <c r="L14" s="55"/>
      <c r="M14" s="56"/>
      <c r="N14" s="56"/>
      <c r="O14" s="57"/>
      <c r="P14" s="90" t="s">
        <v>1962</v>
      </c>
      <c r="Q14" s="82"/>
    </row>
    <row r="15" spans="2:25" x14ac:dyDescent="0.25">
      <c r="B15" s="30" t="s">
        <v>319</v>
      </c>
      <c r="C15" s="15" t="s">
        <v>310</v>
      </c>
      <c r="D15" s="16" t="s">
        <v>326</v>
      </c>
      <c r="E15" s="15" t="str">
        <f t="shared" ca="1" si="0"/>
        <v>refactor Customers Manager.xlsm!Extras</v>
      </c>
      <c r="F15" s="16" t="s">
        <v>326</v>
      </c>
      <c r="G15" s="17"/>
      <c r="H15" s="4"/>
      <c r="I15" s="54" t="s">
        <v>1975</v>
      </c>
      <c r="J15" s="55"/>
      <c r="K15" s="57"/>
      <c r="L15" s="55"/>
      <c r="M15" s="56" t="s">
        <v>1964</v>
      </c>
      <c r="N15" s="56"/>
      <c r="O15" s="57"/>
      <c r="P15" s="90" t="s">
        <v>1962</v>
      </c>
      <c r="Q15" s="82"/>
    </row>
    <row r="16" spans="2:25" x14ac:dyDescent="0.25">
      <c r="B16" s="31"/>
      <c r="C16" s="10"/>
      <c r="D16" s="10"/>
      <c r="E16" s="10"/>
      <c r="F16" s="10"/>
      <c r="G16" s="10"/>
      <c r="H16" s="4"/>
      <c r="I16" s="54" t="s">
        <v>1976</v>
      </c>
      <c r="J16" s="55"/>
      <c r="K16" s="57"/>
      <c r="L16" s="55"/>
      <c r="M16" s="56" t="s">
        <v>1964</v>
      </c>
      <c r="N16" s="56"/>
      <c r="O16" s="57"/>
      <c r="P16" s="90" t="s">
        <v>1962</v>
      </c>
      <c r="Q16" s="82"/>
    </row>
    <row r="17" spans="2:17" x14ac:dyDescent="0.25">
      <c r="B17" s="21" t="s">
        <v>95</v>
      </c>
      <c r="C17" s="35" t="s">
        <v>312</v>
      </c>
      <c r="D17" s="123" t="s">
        <v>311</v>
      </c>
      <c r="E17" s="123"/>
      <c r="F17" s="123"/>
      <c r="G17" s="124"/>
      <c r="H17" s="4"/>
      <c r="I17" s="54" t="s">
        <v>1977</v>
      </c>
      <c r="J17" s="55" t="s">
        <v>1964</v>
      </c>
      <c r="K17" s="57"/>
      <c r="L17" s="55"/>
      <c r="M17" s="56"/>
      <c r="N17" s="56"/>
      <c r="O17" s="57"/>
      <c r="P17" s="90" t="s">
        <v>1962</v>
      </c>
      <c r="Q17" s="82"/>
    </row>
    <row r="18" spans="2:17" x14ac:dyDescent="0.25">
      <c r="B18" s="33" t="s">
        <v>1994</v>
      </c>
      <c r="C18" s="125" t="str">
        <f>D8</f>
        <v>Adresses</v>
      </c>
      <c r="D18" s="121" t="str">
        <f>"OFFSET(" &amp; C18 &amp; "!$A$1; 0; 0; COUNTA(" &amp; C18 &amp; "!$A:$A); COUNTA(" &amp; C18 &amp; "!$1:$1))"</f>
        <v>OFFSET(Adresses!$A$1; 0; 0; COUNTA(Adresses!$A:$A); COUNTA(Adresses!$1:$1))</v>
      </c>
      <c r="E18" s="121"/>
      <c r="F18" s="121"/>
      <c r="G18" s="122"/>
      <c r="H18" s="4"/>
      <c r="I18" s="54" t="s">
        <v>1978</v>
      </c>
      <c r="J18" s="55" t="s">
        <v>1964</v>
      </c>
      <c r="K18" s="57" t="s">
        <v>1966</v>
      </c>
      <c r="L18" s="55" t="s">
        <v>1966</v>
      </c>
      <c r="M18" s="56" t="s">
        <v>1966</v>
      </c>
      <c r="N18" s="56" t="s">
        <v>1966</v>
      </c>
      <c r="O18" s="57" t="s">
        <v>1966</v>
      </c>
      <c r="P18" s="90" t="s">
        <v>1971</v>
      </c>
      <c r="Q18" s="82"/>
    </row>
    <row r="19" spans="2:17" x14ac:dyDescent="0.25">
      <c r="B19" s="32" t="s">
        <v>1995</v>
      </c>
      <c r="C19" s="125"/>
      <c r="D19" s="121" t="str">
        <f>"OFFSET(" &amp; C18 &amp; "!$A$1; 0; 0; 1; COUNTA(" &amp; C18 &amp; "!$1:$1))"</f>
        <v>OFFSET(Adresses!$A$1; 0; 0; 1; COUNTA(Adresses!$1:$1))</v>
      </c>
      <c r="E19" s="121"/>
      <c r="F19" s="121"/>
      <c r="G19" s="122"/>
      <c r="H19" s="4"/>
      <c r="I19" s="54" t="s">
        <v>1885</v>
      </c>
      <c r="J19" s="55" t="s">
        <v>1966</v>
      </c>
      <c r="K19" s="57" t="s">
        <v>1966</v>
      </c>
      <c r="L19" s="55" t="s">
        <v>1966</v>
      </c>
      <c r="M19" s="56" t="s">
        <v>1966</v>
      </c>
      <c r="N19" s="56" t="s">
        <v>1964</v>
      </c>
      <c r="O19" s="57" t="s">
        <v>1966</v>
      </c>
      <c r="P19" s="90" t="s">
        <v>1971</v>
      </c>
      <c r="Q19" s="82"/>
    </row>
    <row r="20" spans="2:17" x14ac:dyDescent="0.25">
      <c r="B20" s="32" t="s">
        <v>1996</v>
      </c>
      <c r="C20" s="125"/>
      <c r="D20" s="121" t="str">
        <f>"OFFSET(" &amp; C18 &amp; "!$A$1; 1; 0; COUNTA(" &amp; C18 &amp; "!$A:$A)-1; COUNTA(" &amp; C18 &amp; "!$1:$1))"</f>
        <v>OFFSET(Adresses!$A$1; 1; 0; COUNTA(Adresses!$A:$A)-1; COUNTA(Adresses!$1:$1))</v>
      </c>
      <c r="E20" s="121"/>
      <c r="F20" s="121"/>
      <c r="G20" s="122"/>
      <c r="H20" s="4"/>
      <c r="I20" s="54" t="s">
        <v>1979</v>
      </c>
      <c r="J20" s="55" t="s">
        <v>1964</v>
      </c>
      <c r="K20" s="57"/>
      <c r="L20" s="55"/>
      <c r="M20" s="56"/>
      <c r="N20" s="56"/>
      <c r="O20" s="57"/>
      <c r="P20" s="90" t="s">
        <v>1962</v>
      </c>
      <c r="Q20" s="82"/>
    </row>
    <row r="21" spans="2:17" x14ac:dyDescent="0.25">
      <c r="B21" s="32" t="s">
        <v>1997</v>
      </c>
      <c r="C21" s="125"/>
      <c r="D21" s="121" t="str">
        <f>"OFFSET(" &amp; C18 &amp; "!$A$1; 1; 0; COUNTA(" &amp; C18 &amp; "!$A:$A)-1; 1)"</f>
        <v>OFFSET(Adresses!$A$1; 1; 0; COUNTA(Adresses!$A:$A)-1; 1)</v>
      </c>
      <c r="E21" s="121"/>
      <c r="F21" s="121"/>
      <c r="G21" s="122"/>
      <c r="H21" s="4"/>
      <c r="I21" s="54" t="s">
        <v>1980</v>
      </c>
      <c r="J21" s="55" t="s">
        <v>1964</v>
      </c>
      <c r="K21" s="57"/>
      <c r="L21" s="55"/>
      <c r="M21" s="56"/>
      <c r="N21" s="56"/>
      <c r="O21" s="57"/>
      <c r="P21" s="90" t="s">
        <v>1962</v>
      </c>
      <c r="Q21" s="82"/>
    </row>
    <row r="22" spans="2:17" x14ac:dyDescent="0.25">
      <c r="B22" s="33" t="s">
        <v>320</v>
      </c>
      <c r="C22" s="125" t="str">
        <f>D9</f>
        <v>Controls</v>
      </c>
      <c r="D22" s="121" t="str">
        <f>"OFFSET(" &amp; C22 &amp; "!$A$1; 0; 0; COUNTA(" &amp; C22 &amp; "!$A:$A); COUNTA(" &amp; C22 &amp; "!$1:$1))"</f>
        <v>OFFSET(Controls!$A$1; 0; 0; COUNTA(Controls!$A:$A); COUNTA(Controls!$1:$1))</v>
      </c>
      <c r="E22" s="121"/>
      <c r="F22" s="121"/>
      <c r="G22" s="122"/>
      <c r="H22" s="4"/>
      <c r="I22" s="54" t="s">
        <v>1981</v>
      </c>
      <c r="J22" s="55" t="s">
        <v>1964</v>
      </c>
      <c r="K22" s="57"/>
      <c r="L22" s="55"/>
      <c r="M22" s="56"/>
      <c r="N22" s="56"/>
      <c r="O22" s="57"/>
      <c r="P22" s="90" t="s">
        <v>1962</v>
      </c>
      <c r="Q22" s="82"/>
    </row>
    <row r="23" spans="2:17" x14ac:dyDescent="0.25">
      <c r="B23" s="32" t="s">
        <v>327</v>
      </c>
      <c r="C23" s="125"/>
      <c r="D23" s="121" t="str">
        <f>"OFFSET(" &amp; C22 &amp; "!$A$1; 0; 0; 1; COUNTA(" &amp; C22 &amp; "!$1:$1))"</f>
        <v>OFFSET(Controls!$A$1; 0; 0; 1; COUNTA(Controls!$1:$1))</v>
      </c>
      <c r="E23" s="121"/>
      <c r="F23" s="121"/>
      <c r="G23" s="122"/>
      <c r="H23" s="4"/>
      <c r="I23" s="54" t="s">
        <v>1982</v>
      </c>
      <c r="J23" s="55" t="s">
        <v>1964</v>
      </c>
      <c r="K23" s="57"/>
      <c r="L23" s="55"/>
      <c r="M23" s="56"/>
      <c r="N23" s="56"/>
      <c r="O23" s="57"/>
      <c r="P23" s="90" t="s">
        <v>1971</v>
      </c>
      <c r="Q23" s="82"/>
    </row>
    <row r="24" spans="2:17" x14ac:dyDescent="0.25">
      <c r="B24" s="32" t="s">
        <v>328</v>
      </c>
      <c r="C24" s="125"/>
      <c r="D24" s="121" t="str">
        <f>"OFFSET(" &amp; C22 &amp; "!$A$1; 1; 0; COUNTA(" &amp; C22 &amp; "!$A:$A)-1; COUNTA(" &amp; C22 &amp; "!$1:$1))"</f>
        <v>OFFSET(Controls!$A$1; 1; 0; COUNTA(Controls!$A:$A)-1; COUNTA(Controls!$1:$1))</v>
      </c>
      <c r="E24" s="121"/>
      <c r="F24" s="121"/>
      <c r="G24" s="122"/>
      <c r="H24" s="4"/>
      <c r="I24" s="54" t="s">
        <v>1983</v>
      </c>
      <c r="J24" s="55" t="s">
        <v>1964</v>
      </c>
      <c r="K24" s="57"/>
      <c r="L24" s="55"/>
      <c r="M24" s="56"/>
      <c r="N24" s="56"/>
      <c r="O24" s="57"/>
      <c r="P24" s="90" t="s">
        <v>1971</v>
      </c>
      <c r="Q24" s="82"/>
    </row>
    <row r="25" spans="2:17" x14ac:dyDescent="0.25">
      <c r="B25" s="32" t="s">
        <v>329</v>
      </c>
      <c r="C25" s="125"/>
      <c r="D25" s="121" t="str">
        <f>"OFFSET(" &amp; C22 &amp; "!$A$1; 1; 0; COUNTA(" &amp; C22 &amp; "!$A:$A)-1; 1)"</f>
        <v>OFFSET(Controls!$A$1; 1; 0; COUNTA(Controls!$A:$A)-1; 1)</v>
      </c>
      <c r="E25" s="121"/>
      <c r="F25" s="121"/>
      <c r="G25" s="122"/>
      <c r="H25" s="4"/>
      <c r="I25" s="54" t="s">
        <v>1984</v>
      </c>
      <c r="J25" s="55" t="s">
        <v>1964</v>
      </c>
      <c r="K25" s="57"/>
      <c r="L25" s="55"/>
      <c r="M25" s="56"/>
      <c r="N25" s="56"/>
      <c r="O25" s="57"/>
      <c r="P25" s="90" t="s">
        <v>1971</v>
      </c>
      <c r="Q25" s="82"/>
    </row>
    <row r="26" spans="2:17" x14ac:dyDescent="0.25">
      <c r="B26" s="33" t="s">
        <v>321</v>
      </c>
      <c r="C26" s="125" t="str">
        <f>D10</f>
        <v>Contacts</v>
      </c>
      <c r="D26" s="121" t="str">
        <f>"OFFSET(" &amp; C26 &amp; "!$A$1; 0; 0; COUNTA(" &amp; C26 &amp; "!$A:$A); COUNTA(" &amp; C26 &amp; "!$1:$1))"</f>
        <v>OFFSET(Contacts!$A$1; 0; 0; COUNTA(Contacts!$A:$A); COUNTA(Contacts!$1:$1))</v>
      </c>
      <c r="E26" s="121"/>
      <c r="F26" s="121"/>
      <c r="G26" s="122"/>
      <c r="H26" s="4"/>
      <c r="I26" s="54" t="s">
        <v>1985</v>
      </c>
      <c r="J26" s="55" t="s">
        <v>1964</v>
      </c>
      <c r="K26" s="57"/>
      <c r="L26" s="55"/>
      <c r="M26" s="56"/>
      <c r="N26" s="56"/>
      <c r="O26" s="57"/>
      <c r="P26" s="90" t="s">
        <v>1971</v>
      </c>
      <c r="Q26" s="82"/>
    </row>
    <row r="27" spans="2:17" x14ac:dyDescent="0.25">
      <c r="B27" s="32" t="s">
        <v>333</v>
      </c>
      <c r="C27" s="125"/>
      <c r="D27" s="121" t="str">
        <f>"OFFSET(" &amp; C26 &amp; "!$A$1; 0; 0; 1; COUNTA(" &amp; C26 &amp; "!$1:$1))"</f>
        <v>OFFSET(Contacts!$A$1; 0; 0; 1; COUNTA(Contacts!$1:$1))</v>
      </c>
      <c r="E27" s="121"/>
      <c r="F27" s="121"/>
      <c r="G27" s="122"/>
      <c r="H27" s="4"/>
      <c r="I27" s="54" t="s">
        <v>1986</v>
      </c>
      <c r="J27" s="55" t="s">
        <v>1964</v>
      </c>
      <c r="K27" s="57"/>
      <c r="L27" s="55"/>
      <c r="M27" s="56"/>
      <c r="N27" s="56"/>
      <c r="O27" s="57"/>
      <c r="P27" s="90" t="s">
        <v>1971</v>
      </c>
      <c r="Q27" s="82"/>
    </row>
    <row r="28" spans="2:17" x14ac:dyDescent="0.25">
      <c r="B28" s="32" t="s">
        <v>334</v>
      </c>
      <c r="C28" s="125"/>
      <c r="D28" s="121" t="str">
        <f>"OFFSET(" &amp; C26 &amp; "!$A$1; 1; 0; COUNTA(" &amp; C26 &amp; "!$A:$A)-1; COUNTA(" &amp; C26 &amp; "!$1:$1))"</f>
        <v>OFFSET(Contacts!$A$1; 1; 0; COUNTA(Contacts!$A:$A)-1; COUNTA(Contacts!$1:$1))</v>
      </c>
      <c r="E28" s="121"/>
      <c r="F28" s="121"/>
      <c r="G28" s="122"/>
      <c r="H28" s="4"/>
      <c r="I28" s="54" t="s">
        <v>1987</v>
      </c>
      <c r="J28" s="55"/>
      <c r="K28" s="57"/>
      <c r="L28" s="55" t="s">
        <v>1964</v>
      </c>
      <c r="M28" s="56"/>
      <c r="N28" s="56" t="s">
        <v>1964</v>
      </c>
      <c r="O28" s="57" t="s">
        <v>1964</v>
      </c>
      <c r="P28" s="90" t="s">
        <v>1971</v>
      </c>
      <c r="Q28" s="82"/>
    </row>
    <row r="29" spans="2:17" x14ac:dyDescent="0.25">
      <c r="B29" s="32" t="s">
        <v>335</v>
      </c>
      <c r="C29" s="125"/>
      <c r="D29" s="121" t="str">
        <f>"OFFSET(" &amp; C26 &amp; "!$A$1; 1; 0; COUNTA(" &amp; C26 &amp; "!$A:$A)-1; 1)"</f>
        <v>OFFSET(Contacts!$A$1; 1; 0; COUNTA(Contacts!$A:$A)-1; 1)</v>
      </c>
      <c r="E29" s="121"/>
      <c r="F29" s="121"/>
      <c r="G29" s="122"/>
      <c r="H29" s="6"/>
      <c r="I29" s="54" t="s">
        <v>1988</v>
      </c>
      <c r="J29" s="55" t="s">
        <v>1964</v>
      </c>
      <c r="K29" s="57"/>
      <c r="L29" s="55"/>
      <c r="M29" s="56"/>
      <c r="N29" s="56"/>
      <c r="O29" s="57"/>
      <c r="P29" s="90" t="s">
        <v>1971</v>
      </c>
      <c r="Q29" s="82"/>
    </row>
    <row r="30" spans="2:17" x14ac:dyDescent="0.25">
      <c r="B30" s="33" t="s">
        <v>322</v>
      </c>
      <c r="C30" s="125" t="str">
        <f>D11</f>
        <v>Sales</v>
      </c>
      <c r="D30" s="121" t="str">
        <f>"OFFSET(" &amp; C30 &amp; "!$A$1; 0; 0; COUNTA(" &amp; C30 &amp; "!$A:$A); COUNTA(" &amp; C30 &amp; "!$1:$1))"</f>
        <v>OFFSET(Sales!$A$1; 0; 0; COUNTA(Sales!$A:$A); COUNTA(Sales!$1:$1))</v>
      </c>
      <c r="E30" s="121"/>
      <c r="F30" s="121"/>
      <c r="G30" s="122"/>
      <c r="H30" s="4"/>
      <c r="I30" s="54" t="s">
        <v>1989</v>
      </c>
      <c r="J30" s="55" t="s">
        <v>1964</v>
      </c>
      <c r="K30" s="57"/>
      <c r="L30" s="55"/>
      <c r="M30" s="56"/>
      <c r="N30" s="56"/>
      <c r="O30" s="57"/>
      <c r="P30" s="90" t="s">
        <v>1962</v>
      </c>
      <c r="Q30" s="82"/>
    </row>
    <row r="31" spans="2:17" x14ac:dyDescent="0.25">
      <c r="B31" s="32" t="s">
        <v>330</v>
      </c>
      <c r="C31" s="125"/>
      <c r="D31" s="121" t="str">
        <f>"OFFSET(" &amp; C30 &amp; "!$A$1; 0; 0; 1; COUNTA(" &amp; C30 &amp; "!$1:$1))"</f>
        <v>OFFSET(Sales!$A$1; 0; 0; 1; COUNTA(Sales!$1:$1))</v>
      </c>
      <c r="E31" s="121"/>
      <c r="F31" s="121"/>
      <c r="G31" s="122"/>
      <c r="H31" s="4"/>
      <c r="I31" s="54" t="s">
        <v>94</v>
      </c>
      <c r="J31" s="55" t="s">
        <v>1964</v>
      </c>
      <c r="K31" s="57"/>
      <c r="L31" s="55"/>
      <c r="M31" s="56"/>
      <c r="N31" s="56"/>
      <c r="O31" s="57"/>
      <c r="P31" s="90" t="s">
        <v>1971</v>
      </c>
      <c r="Q31" s="82"/>
    </row>
    <row r="32" spans="2:17" x14ac:dyDescent="0.25">
      <c r="B32" s="32" t="s">
        <v>331</v>
      </c>
      <c r="C32" s="125"/>
      <c r="D32" s="121" t="str">
        <f>"OFFSET(" &amp; C30 &amp; "!$A$1; 1; 0; COUNTA(" &amp; C30 &amp; "!$A:$A)-1; COUNTA(" &amp; C30 &amp; "!$1:$1))"</f>
        <v>OFFSET(Sales!$A$1; 1; 0; COUNTA(Sales!$A:$A)-1; COUNTA(Sales!$1:$1))</v>
      </c>
      <c r="E32" s="121"/>
      <c r="F32" s="121"/>
      <c r="G32" s="122"/>
      <c r="H32" s="4"/>
      <c r="I32" s="54" t="s">
        <v>1990</v>
      </c>
      <c r="J32" s="55" t="s">
        <v>1964</v>
      </c>
      <c r="K32" s="57"/>
      <c r="L32" s="55"/>
      <c r="M32" s="56"/>
      <c r="N32" s="56"/>
      <c r="O32" s="57"/>
      <c r="P32" s="90" t="s">
        <v>1962</v>
      </c>
      <c r="Q32" s="82"/>
    </row>
    <row r="33" spans="2:17" x14ac:dyDescent="0.25">
      <c r="B33" s="32" t="s">
        <v>332</v>
      </c>
      <c r="C33" s="125"/>
      <c r="D33" s="121" t="str">
        <f>"OFFSET(" &amp; C30 &amp; "!$A$1; 1; 0; COUNTA(" &amp; C30 &amp; "!$A:$A)-1; 1)"</f>
        <v>OFFSET(Sales!$A$1; 1; 0; COUNTA(Sales!$A:$A)-1; 1)</v>
      </c>
      <c r="E33" s="121"/>
      <c r="F33" s="121"/>
      <c r="G33" s="122"/>
      <c r="H33" s="4"/>
      <c r="I33" s="54" t="s">
        <v>1991</v>
      </c>
      <c r="J33" s="55" t="s">
        <v>1964</v>
      </c>
      <c r="K33" s="57"/>
      <c r="L33" s="55"/>
      <c r="M33" s="56"/>
      <c r="N33" s="56"/>
      <c r="O33" s="57"/>
      <c r="P33" s="90" t="s">
        <v>1971</v>
      </c>
      <c r="Q33" s="82"/>
    </row>
    <row r="34" spans="2:17" x14ac:dyDescent="0.25">
      <c r="B34" s="33" t="s">
        <v>323</v>
      </c>
      <c r="C34" s="129" t="str">
        <f>D12</f>
        <v>Shippings</v>
      </c>
      <c r="D34" s="121" t="str">
        <f>"OFFSET(" &amp; C34 &amp; "!$A$1; 0; 0; COUNTA(" &amp; C34 &amp; "!$A:$A); COUNTA(" &amp; C34 &amp; "!$1:$1))"</f>
        <v>OFFSET(Shippings!$A$1; 0; 0; COUNTA(Shippings!$A:$A); COUNTA(Shippings!$1:$1))</v>
      </c>
      <c r="E34" s="121"/>
      <c r="F34" s="121"/>
      <c r="G34" s="122"/>
      <c r="H34" s="4"/>
      <c r="I34" s="54" t="s">
        <v>1992</v>
      </c>
      <c r="J34" s="91"/>
      <c r="K34" s="92"/>
      <c r="L34" s="91"/>
      <c r="M34" s="93"/>
      <c r="N34" s="93" t="s">
        <v>1964</v>
      </c>
      <c r="O34" s="92"/>
      <c r="P34" s="90" t="s">
        <v>1971</v>
      </c>
      <c r="Q34" s="82"/>
    </row>
    <row r="35" spans="2:17" x14ac:dyDescent="0.25">
      <c r="B35" s="32" t="s">
        <v>336</v>
      </c>
      <c r="C35" s="129"/>
      <c r="D35" s="121" t="str">
        <f>"OFFSET(" &amp; C34 &amp; "!$A$1; 0; 0; 1; COUNTA(" &amp; C34 &amp; "!$1:$1))"</f>
        <v>OFFSET(Shippings!$A$1; 0; 0; 1; COUNTA(Shippings!$1:$1))</v>
      </c>
      <c r="E35" s="121"/>
      <c r="F35" s="121"/>
      <c r="G35" s="122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2:17" x14ac:dyDescent="0.25">
      <c r="B36" s="32" t="s">
        <v>337</v>
      </c>
      <c r="C36" s="129"/>
      <c r="D36" s="121" t="str">
        <f>"OFFSET(" &amp; C34 &amp; "!$A$1; 1; 0; COUNTA(" &amp; C34 &amp; "!$A:$A)-1; COUNTA(" &amp; C34 &amp; "!$1:$1))"</f>
        <v>OFFSET(Shippings!$A$1; 1; 0; COUNTA(Shippings!$A:$A)-1; COUNTA(Shippings!$1:$1))</v>
      </c>
      <c r="E36" s="121"/>
      <c r="F36" s="121"/>
      <c r="G36" s="122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2:17" x14ac:dyDescent="0.25">
      <c r="B37" s="32" t="s">
        <v>338</v>
      </c>
      <c r="C37" s="129"/>
      <c r="D37" s="121" t="str">
        <f>"OFFSET(" &amp; C34 &amp; "!$A$1; 1; 0; COUNTA(" &amp; C34 &amp; "!$A:$A)-1; 1)"</f>
        <v>OFFSET(Shippings!$A$1; 1; 0; COUNTA(Shippings!$A:$A)-1; 1)</v>
      </c>
      <c r="E37" s="121"/>
      <c r="F37" s="121"/>
      <c r="G37" s="122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2:17" x14ac:dyDescent="0.25">
      <c r="B38" s="33" t="s">
        <v>324</v>
      </c>
      <c r="C38" s="129" t="str">
        <f>D13</f>
        <v>Billings</v>
      </c>
      <c r="D38" s="121" t="str">
        <f>"OFFSET(" &amp; C38 &amp; "!$A$1; 0; 0; COUNTA(" &amp; C38 &amp; "!$A:$A); COUNTA(" &amp; C38 &amp; "!$1:$1))"</f>
        <v>OFFSET(Billings!$A$1; 0; 0; COUNTA(Billings!$A:$A); COUNTA(Billings!$1:$1))</v>
      </c>
      <c r="E38" s="121"/>
      <c r="F38" s="121"/>
      <c r="G38" s="122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2:17" x14ac:dyDescent="0.25">
      <c r="B39" s="32" t="s">
        <v>339</v>
      </c>
      <c r="C39" s="129"/>
      <c r="D39" s="121" t="str">
        <f>"OFFSET(" &amp; C38 &amp; "!$A$1; 0; 0; 1; COUNTA(" &amp; C38 &amp; "!$1:$1))"</f>
        <v>OFFSET(Billings!$A$1; 0; 0; 1; COUNTA(Billings!$1:$1))</v>
      </c>
      <c r="E39" s="121"/>
      <c r="F39" s="121"/>
      <c r="G39" s="122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2:17" x14ac:dyDescent="0.25">
      <c r="B40" s="32" t="s">
        <v>340</v>
      </c>
      <c r="C40" s="129"/>
      <c r="D40" s="121" t="str">
        <f>"OFFSET(" &amp; C38 &amp; "!$A$1; 1; 0; COUNTA(" &amp; C38 &amp; "!$A:$A)-1; COUNTA(" &amp; C38 &amp; "!$1:$1))"</f>
        <v>OFFSET(Billings!$A$1; 1; 0; COUNTA(Billings!$A:$A)-1; COUNTA(Billings!$1:$1))</v>
      </c>
      <c r="E40" s="121"/>
      <c r="F40" s="121"/>
      <c r="G40" s="122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2:17" x14ac:dyDescent="0.25">
      <c r="B41" s="32" t="s">
        <v>341</v>
      </c>
      <c r="C41" s="129"/>
      <c r="D41" s="121" t="str">
        <f>"OFFSET(" &amp; C38 &amp; "!$A$1; 1; 0; COUNTA(" &amp; C38 &amp; "!$A:$A)-1; 1)"</f>
        <v>OFFSET(Billings!$A$1; 1; 0; COUNTA(Billings!$A:$A)-1; 1)</v>
      </c>
      <c r="E41" s="121"/>
      <c r="F41" s="121"/>
      <c r="G41" s="122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2:17" x14ac:dyDescent="0.25">
      <c r="B42" s="33" t="s">
        <v>325</v>
      </c>
      <c r="C42" s="125" t="str">
        <f>D14</f>
        <v>Partners</v>
      </c>
      <c r="D42" s="121" t="str">
        <f>"OFFSET(" &amp; C42 &amp; "!$A$1; 0; 0; COUNTA(" &amp; C42 &amp; "!$A:$A); COUNTA(" &amp; C42 &amp; "!$1:$1))"</f>
        <v>OFFSET(Partners!$A$1; 0; 0; COUNTA(Partners!$A:$A); COUNTA(Partners!$1:$1))</v>
      </c>
      <c r="E42" s="121"/>
      <c r="F42" s="121"/>
      <c r="G42" s="122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2:17" x14ac:dyDescent="0.25">
      <c r="B43" s="32" t="s">
        <v>342</v>
      </c>
      <c r="C43" s="125"/>
      <c r="D43" s="121" t="str">
        <f>"OFFSET(" &amp; C42 &amp; "!$A$1; 0; 0; 1; COUNTA(" &amp; C42 &amp; "!$1:$1))"</f>
        <v>OFFSET(Partners!$A$1; 0; 0; 1; COUNTA(Partners!$1:$1))</v>
      </c>
      <c r="E43" s="121"/>
      <c r="F43" s="121"/>
      <c r="G43" s="122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2:17" x14ac:dyDescent="0.25">
      <c r="B44" s="32" t="s">
        <v>343</v>
      </c>
      <c r="C44" s="125"/>
      <c r="D44" s="121" t="str">
        <f>"OFFSET(" &amp; C42 &amp; "!$A$1; 1; 0; COUNTA(" &amp; C42 &amp; "!$A:$A)-1; COUNTA(" &amp; C42 &amp; "!$1:$1))"</f>
        <v>OFFSET(Partners!$A$1; 1; 0; COUNTA(Partners!$A:$A)-1; COUNTA(Partners!$1:$1))</v>
      </c>
      <c r="E44" s="121"/>
      <c r="F44" s="121"/>
      <c r="G44" s="122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2:17" x14ac:dyDescent="0.25">
      <c r="B45" s="32" t="s">
        <v>344</v>
      </c>
      <c r="C45" s="125"/>
      <c r="D45" s="121" t="str">
        <f>"OFFSET(" &amp; C42 &amp; "!$A$1; 1; 0; COUNTA(" &amp; C42 &amp; "!$A:$A)-1; 1)"</f>
        <v>OFFSET(Partners!$A$1; 1; 0; COUNTA(Partners!$A:$A)-1; 1)</v>
      </c>
      <c r="E45" s="121"/>
      <c r="F45" s="121"/>
      <c r="G45" s="122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2:17" x14ac:dyDescent="0.25">
      <c r="B46" s="33" t="s">
        <v>326</v>
      </c>
      <c r="C46" s="125" t="str">
        <f>D15</f>
        <v>Extras</v>
      </c>
      <c r="D46" s="121" t="str">
        <f>"OFFSET(" &amp; C46 &amp; "!$A$1; 0; 0; COUNTA(" &amp; C46 &amp; "!$A:$A); COUNTA(" &amp; C46 &amp; "!$1:$1))"</f>
        <v>OFFSET(Extras!$A$1; 0; 0; COUNTA(Extras!$A:$A); COUNTA(Extras!$1:$1))</v>
      </c>
      <c r="E46" s="121"/>
      <c r="F46" s="121"/>
      <c r="G46" s="122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2:17" x14ac:dyDescent="0.25">
      <c r="B47" s="32" t="s">
        <v>345</v>
      </c>
      <c r="C47" s="125"/>
      <c r="D47" s="121" t="str">
        <f>"OFFSET(" &amp; C46 &amp; "!$A$1; 0; 0; 1; COUNTA(" &amp; C46 &amp; "!$1:$1))"</f>
        <v>OFFSET(Extras!$A$1; 0; 0; 1; COUNTA(Extras!$1:$1))</v>
      </c>
      <c r="E47" s="121"/>
      <c r="F47" s="121"/>
      <c r="G47" s="122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2:17" x14ac:dyDescent="0.25">
      <c r="B48" s="32" t="s">
        <v>346</v>
      </c>
      <c r="C48" s="125"/>
      <c r="D48" s="121" t="str">
        <f>"OFFSET(" &amp; C46 &amp; "!$A$1; 1; 0; COUNTA(" &amp; C46 &amp; "!$A:$A)-1; COUNTA(" &amp; C46 &amp; "!$1:$1))"</f>
        <v>OFFSET(Extras!$A$1; 1; 0; COUNTA(Extras!$A:$A)-1; COUNTA(Extras!$1:$1))</v>
      </c>
      <c r="E48" s="121"/>
      <c r="F48" s="121"/>
      <c r="G48" s="122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2:17" x14ac:dyDescent="0.25">
      <c r="B49" s="34" t="s">
        <v>347</v>
      </c>
      <c r="C49" s="126"/>
      <c r="D49" s="127" t="str">
        <f>"OFFSET(" &amp; C46 &amp; "!$A$1; 1; 0; COUNTA(" &amp; C46 &amp; "!$A:$A)-1; 1)"</f>
        <v>OFFSET(Extras!$A$1; 1; 0; COUNTA(Extras!$A:$A)-1; 1)</v>
      </c>
      <c r="E49" s="127"/>
      <c r="F49" s="127"/>
      <c r="G49" s="128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2:17" x14ac:dyDescent="0.25">
      <c r="B50" s="31"/>
      <c r="C50" s="10"/>
      <c r="D50" s="10"/>
      <c r="E50" s="10"/>
      <c r="F50" s="10"/>
      <c r="G50" s="10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2:17" x14ac:dyDescent="0.25">
      <c r="B51" s="31"/>
      <c r="C51" s="38"/>
      <c r="D51" s="38"/>
      <c r="E51" s="38"/>
      <c r="F51" s="38"/>
      <c r="G51" s="38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2:17" x14ac:dyDescent="0.25">
      <c r="B52" s="31"/>
      <c r="C52" s="10"/>
      <c r="D52" s="10"/>
      <c r="E52" s="10"/>
      <c r="F52" s="10"/>
      <c r="G52" s="10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2:17" x14ac:dyDescent="0.25">
      <c r="B53" s="31"/>
      <c r="C53" s="10"/>
      <c r="D53" s="10"/>
      <c r="E53" s="10"/>
      <c r="F53" s="10"/>
      <c r="G53" s="10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2:17" x14ac:dyDescent="0.25">
      <c r="B54" s="31"/>
      <c r="C54" s="10"/>
      <c r="D54" s="10"/>
      <c r="E54" s="10"/>
      <c r="F54" s="10"/>
      <c r="G54" s="10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2:17" x14ac:dyDescent="0.25">
      <c r="B55" s="31"/>
      <c r="C55" s="10"/>
      <c r="D55" s="10"/>
      <c r="E55" s="10"/>
      <c r="F55" s="10"/>
      <c r="G55" s="10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2:17" x14ac:dyDescent="0.25">
      <c r="B56" s="31"/>
      <c r="C56" s="10"/>
      <c r="D56" s="10"/>
      <c r="E56" s="10"/>
      <c r="F56" s="10"/>
      <c r="G56" s="10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2:17" x14ac:dyDescent="0.25">
      <c r="B57" s="31"/>
      <c r="C57" s="10"/>
      <c r="D57" s="10"/>
      <c r="E57" s="10"/>
      <c r="F57" s="10"/>
      <c r="G57" s="10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2:17" x14ac:dyDescent="0.25">
      <c r="B58" s="31"/>
      <c r="C58" s="10"/>
      <c r="D58" s="10"/>
      <c r="E58" s="10"/>
      <c r="F58" s="10"/>
      <c r="G58" s="10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2:17" x14ac:dyDescent="0.25">
      <c r="B59" s="31"/>
      <c r="C59" s="10"/>
      <c r="D59" s="10"/>
      <c r="E59" s="10"/>
      <c r="F59" s="10"/>
      <c r="G59" s="10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2:17" x14ac:dyDescent="0.25">
      <c r="B60" s="31"/>
      <c r="C60" s="10"/>
      <c r="D60" s="10"/>
      <c r="E60" s="10"/>
      <c r="F60" s="10"/>
      <c r="G60" s="10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2:17" x14ac:dyDescent="0.25">
      <c r="B61" s="31"/>
      <c r="C61" s="10"/>
      <c r="D61" s="10"/>
      <c r="E61" s="10"/>
      <c r="F61" s="10"/>
      <c r="G61" s="10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2:17" x14ac:dyDescent="0.25">
      <c r="B62" s="31"/>
      <c r="C62" s="10"/>
      <c r="D62" s="10"/>
      <c r="E62" s="10"/>
      <c r="F62" s="10"/>
      <c r="G62" s="10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2:17" x14ac:dyDescent="0.25">
      <c r="B63" s="31"/>
      <c r="C63" s="10"/>
      <c r="D63" s="10"/>
      <c r="E63" s="10"/>
      <c r="F63" s="10"/>
      <c r="G63" s="10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2:17" x14ac:dyDescent="0.25">
      <c r="B64" s="31"/>
      <c r="C64" s="10"/>
      <c r="D64" s="10"/>
      <c r="E64" s="10"/>
      <c r="F64" s="10"/>
      <c r="G64" s="10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2:17" x14ac:dyDescent="0.25">
      <c r="B65" s="31"/>
      <c r="C65" s="10"/>
      <c r="D65" s="10"/>
      <c r="E65" s="10"/>
      <c r="F65" s="10"/>
      <c r="G65" s="10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2:17" x14ac:dyDescent="0.25">
      <c r="B66" s="31"/>
      <c r="C66" s="10"/>
      <c r="D66" s="10"/>
      <c r="E66" s="10"/>
      <c r="F66" s="10"/>
      <c r="G66" s="10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2:17" x14ac:dyDescent="0.25">
      <c r="B67" s="31"/>
      <c r="C67" s="10"/>
      <c r="D67" s="10"/>
      <c r="E67" s="10"/>
      <c r="F67" s="10"/>
      <c r="G67" s="10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2:17" x14ac:dyDescent="0.25">
      <c r="B68" s="31"/>
      <c r="C68" s="10"/>
      <c r="D68" s="10"/>
      <c r="E68" s="10"/>
      <c r="F68" s="10"/>
      <c r="G68" s="10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2:17" x14ac:dyDescent="0.25">
      <c r="B69" s="31"/>
      <c r="C69" s="10"/>
      <c r="D69" s="10"/>
      <c r="E69" s="10"/>
      <c r="F69" s="10"/>
      <c r="G69" s="10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2:17" x14ac:dyDescent="0.25">
      <c r="B70" s="31"/>
      <c r="C70" s="10"/>
      <c r="D70" s="10"/>
      <c r="E70" s="10"/>
      <c r="F70" s="10"/>
      <c r="G70" s="10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2:17" x14ac:dyDescent="0.25">
      <c r="B71" s="31"/>
      <c r="C71" s="10"/>
      <c r="D71" s="10"/>
      <c r="E71" s="10"/>
      <c r="F71" s="10"/>
      <c r="G71" s="10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2:17" x14ac:dyDescent="0.25">
      <c r="B72" s="31"/>
      <c r="C72" s="10"/>
      <c r="D72" s="10"/>
      <c r="E72" s="10"/>
      <c r="F72" s="10"/>
      <c r="G72" s="10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2:17" x14ac:dyDescent="0.25">
      <c r="B73" s="31"/>
      <c r="C73" s="10"/>
      <c r="D73" s="10"/>
      <c r="E73" s="10"/>
      <c r="F73" s="10"/>
      <c r="G73" s="10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2:17" x14ac:dyDescent="0.25">
      <c r="B74" s="31"/>
      <c r="C74" s="10"/>
      <c r="D74" s="10"/>
      <c r="E74" s="10"/>
      <c r="F74" s="10"/>
      <c r="G74" s="10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2:17" x14ac:dyDescent="0.25">
      <c r="B75" s="31"/>
      <c r="C75" s="10"/>
      <c r="D75" s="10"/>
      <c r="E75" s="10"/>
      <c r="F75" s="10"/>
      <c r="G75" s="10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2:17" x14ac:dyDescent="0.25">
      <c r="B76" s="31"/>
      <c r="C76" s="10"/>
      <c r="D76" s="10"/>
      <c r="E76" s="10"/>
      <c r="F76" s="10"/>
      <c r="G76" s="10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2:17" x14ac:dyDescent="0.25">
      <c r="B77" s="31"/>
      <c r="C77" s="10"/>
      <c r="D77" s="10"/>
      <c r="E77" s="10"/>
      <c r="F77" s="10"/>
      <c r="G77" s="10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2:17" x14ac:dyDescent="0.25">
      <c r="B78" s="31"/>
      <c r="C78" s="10"/>
      <c r="D78" s="10"/>
      <c r="E78" s="10"/>
      <c r="F78" s="10"/>
      <c r="G78" s="10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2:17" x14ac:dyDescent="0.25">
      <c r="B79" s="31"/>
      <c r="C79" s="10"/>
      <c r="D79" s="10"/>
      <c r="E79" s="10"/>
      <c r="F79" s="10"/>
      <c r="G79" s="10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2:17" x14ac:dyDescent="0.25">
      <c r="B80" s="31"/>
      <c r="C80" s="10"/>
      <c r="D80" s="10"/>
      <c r="E80" s="10"/>
      <c r="F80" s="10"/>
      <c r="G80" s="10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2:17" x14ac:dyDescent="0.25">
      <c r="B81" s="31"/>
      <c r="C81" s="10"/>
      <c r="D81" s="10"/>
      <c r="E81" s="10"/>
      <c r="F81" s="10"/>
      <c r="G81" s="10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2:17" x14ac:dyDescent="0.25">
      <c r="B82" s="31"/>
      <c r="C82" s="10"/>
      <c r="D82" s="10"/>
      <c r="E82" s="10"/>
      <c r="F82" s="10"/>
      <c r="G82" s="10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2:17" x14ac:dyDescent="0.25">
      <c r="B83" s="31"/>
      <c r="C83" s="10"/>
      <c r="D83" s="10"/>
      <c r="E83" s="10"/>
      <c r="F83" s="10"/>
      <c r="G83" s="10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2:17" x14ac:dyDescent="0.25">
      <c r="B84" s="31"/>
      <c r="C84" s="10"/>
      <c r="D84" s="10"/>
      <c r="E84" s="10"/>
      <c r="F84" s="10"/>
      <c r="G84" s="10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2:17" x14ac:dyDescent="0.25">
      <c r="B85" s="31"/>
      <c r="C85" s="10"/>
      <c r="D85" s="10"/>
      <c r="E85" s="10"/>
      <c r="F85" s="10"/>
      <c r="G85" s="10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2:17" x14ac:dyDescent="0.25">
      <c r="B86" s="31"/>
      <c r="C86" s="10"/>
      <c r="D86" s="10"/>
      <c r="E86" s="10"/>
      <c r="F86" s="10"/>
      <c r="G86" s="10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2:17" x14ac:dyDescent="0.25">
      <c r="B87" s="31"/>
      <c r="C87" s="10"/>
      <c r="D87" s="10"/>
      <c r="E87" s="10"/>
      <c r="F87" s="10"/>
      <c r="G87" s="10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2:17" x14ac:dyDescent="0.25">
      <c r="B88" s="31"/>
      <c r="C88" s="10"/>
      <c r="D88" s="10"/>
      <c r="E88" s="10"/>
      <c r="F88" s="10"/>
      <c r="G88" s="10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2:17" x14ac:dyDescent="0.25">
      <c r="B89" s="31"/>
      <c r="C89" s="10"/>
      <c r="D89" s="10"/>
      <c r="E89" s="10"/>
      <c r="F89" s="10"/>
      <c r="G89" s="10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2:17" x14ac:dyDescent="0.25">
      <c r="B90" s="31"/>
      <c r="C90" s="10"/>
      <c r="D90" s="10"/>
      <c r="E90" s="10"/>
      <c r="F90" s="10"/>
      <c r="G90" s="10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2:17" x14ac:dyDescent="0.25">
      <c r="B91" s="31"/>
      <c r="C91" s="10"/>
      <c r="D91" s="10"/>
      <c r="E91" s="10"/>
      <c r="F91" s="10"/>
      <c r="G91" s="10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2:17" x14ac:dyDescent="0.25">
      <c r="B92" s="31"/>
      <c r="C92" s="10"/>
      <c r="D92" s="10"/>
      <c r="E92" s="10"/>
      <c r="F92" s="10"/>
      <c r="G92" s="10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2:17" x14ac:dyDescent="0.25">
      <c r="B93" s="31"/>
      <c r="C93" s="10"/>
      <c r="D93" s="10"/>
      <c r="E93" s="10"/>
      <c r="F93" s="10"/>
      <c r="G93" s="10"/>
      <c r="H93" s="4"/>
      <c r="I93" s="4"/>
      <c r="J93" s="4"/>
      <c r="K93" s="4"/>
      <c r="L93" s="4"/>
      <c r="M93" s="4"/>
      <c r="N93" s="4"/>
      <c r="O93" s="4"/>
      <c r="P93" s="4"/>
      <c r="Q93" s="4"/>
    </row>
    <row r="94" spans="2:17" x14ac:dyDescent="0.25">
      <c r="B94" s="31"/>
      <c r="C94" s="10"/>
      <c r="D94" s="10"/>
      <c r="E94" s="10"/>
      <c r="F94" s="10"/>
      <c r="G94" s="10"/>
      <c r="H94" s="4"/>
      <c r="I94" s="4"/>
      <c r="J94" s="4"/>
      <c r="K94" s="4"/>
      <c r="L94" s="4"/>
      <c r="M94" s="4"/>
      <c r="N94" s="4"/>
      <c r="O94" s="4"/>
      <c r="P94" s="4"/>
      <c r="Q94" s="4"/>
    </row>
    <row r="95" spans="2:17" x14ac:dyDescent="0.25">
      <c r="B95" s="31"/>
      <c r="C95" s="10"/>
      <c r="D95" s="10"/>
      <c r="E95" s="10"/>
      <c r="F95" s="10"/>
      <c r="G95" s="10"/>
      <c r="H95" s="4"/>
      <c r="I95" s="4"/>
      <c r="J95" s="4"/>
      <c r="K95" s="4"/>
      <c r="L95" s="4"/>
      <c r="M95" s="4"/>
      <c r="N95" s="4"/>
      <c r="O95" s="4"/>
      <c r="P95" s="4"/>
      <c r="Q95" s="4"/>
    </row>
    <row r="96" spans="2:17" x14ac:dyDescent="0.25">
      <c r="B96" s="31"/>
      <c r="C96" s="10"/>
      <c r="D96" s="10"/>
      <c r="E96" s="10"/>
      <c r="F96" s="10"/>
      <c r="G96" s="10"/>
      <c r="H96" s="4"/>
      <c r="I96" s="4"/>
      <c r="J96" s="4"/>
      <c r="K96" s="4"/>
      <c r="L96" s="4"/>
      <c r="M96" s="4"/>
      <c r="N96" s="4"/>
      <c r="O96" s="4"/>
      <c r="P96" s="4"/>
      <c r="Q96" s="4"/>
    </row>
    <row r="97" spans="2:17" x14ac:dyDescent="0.25">
      <c r="B97" s="31"/>
      <c r="C97" s="10"/>
      <c r="D97" s="10"/>
      <c r="E97" s="10"/>
      <c r="F97" s="10"/>
      <c r="G97" s="10"/>
      <c r="H97" s="4"/>
      <c r="I97" s="4"/>
      <c r="J97" s="4"/>
      <c r="K97" s="4"/>
      <c r="L97" s="4"/>
      <c r="M97" s="4"/>
      <c r="N97" s="4"/>
      <c r="O97" s="4"/>
      <c r="P97" s="4"/>
      <c r="Q97" s="4"/>
    </row>
    <row r="98" spans="2:17" x14ac:dyDescent="0.25">
      <c r="B98" s="31"/>
      <c r="C98" s="10"/>
      <c r="D98" s="10"/>
      <c r="E98" s="10"/>
      <c r="F98" s="10"/>
      <c r="G98" s="10"/>
      <c r="H98" s="4"/>
      <c r="I98" s="4"/>
      <c r="J98" s="4"/>
      <c r="K98" s="4"/>
      <c r="L98" s="4"/>
      <c r="M98" s="4"/>
      <c r="N98" s="4"/>
      <c r="O98" s="4"/>
      <c r="P98" s="4"/>
      <c r="Q98" s="4"/>
    </row>
    <row r="99" spans="2:17" x14ac:dyDescent="0.25">
      <c r="B99" s="31"/>
      <c r="C99" s="10"/>
      <c r="D99" s="10"/>
      <c r="E99" s="10"/>
      <c r="F99" s="10"/>
      <c r="G99" s="10"/>
      <c r="H99" s="4"/>
      <c r="I99" s="4"/>
      <c r="J99" s="4"/>
      <c r="K99" s="4"/>
      <c r="L99" s="4"/>
      <c r="M99" s="4"/>
      <c r="N99" s="4"/>
      <c r="O99" s="4"/>
      <c r="P99" s="4"/>
      <c r="Q99" s="4"/>
    </row>
    <row r="100" spans="2:17" x14ac:dyDescent="0.25">
      <c r="B100" s="31"/>
      <c r="C100" s="10"/>
      <c r="D100" s="10"/>
      <c r="E100" s="10"/>
      <c r="F100" s="10"/>
      <c r="G100" s="10"/>
      <c r="H100" s="4"/>
      <c r="I100" s="4"/>
      <c r="J100" s="4"/>
      <c r="K100" s="4"/>
      <c r="L100" s="4"/>
      <c r="M100" s="4"/>
      <c r="N100" s="4"/>
      <c r="O100" s="4"/>
      <c r="P100" s="4"/>
      <c r="Q100" s="4"/>
    </row>
    <row r="101" spans="2:17" x14ac:dyDescent="0.25">
      <c r="B101" s="31"/>
      <c r="C101" s="10"/>
      <c r="D101" s="10"/>
      <c r="E101" s="10"/>
      <c r="F101" s="10"/>
      <c r="G101" s="10"/>
      <c r="H101" s="4"/>
      <c r="I101" s="4"/>
      <c r="J101" s="4"/>
      <c r="K101" s="4"/>
      <c r="L101" s="4"/>
      <c r="M101" s="4"/>
      <c r="N101" s="4"/>
      <c r="O101" s="4"/>
      <c r="P101" s="4"/>
      <c r="Q101" s="4"/>
    </row>
    <row r="102" spans="2:17" x14ac:dyDescent="0.25">
      <c r="B102" s="31"/>
      <c r="C102" s="10"/>
      <c r="D102" s="10"/>
      <c r="E102" s="10"/>
      <c r="F102" s="10"/>
      <c r="G102" s="10"/>
      <c r="H102" s="4"/>
      <c r="I102" s="4"/>
      <c r="J102" s="4"/>
      <c r="K102" s="4"/>
      <c r="L102" s="4"/>
      <c r="M102" s="4"/>
      <c r="N102" s="4"/>
      <c r="O102" s="4"/>
      <c r="P102" s="4"/>
      <c r="Q102" s="4"/>
    </row>
    <row r="103" spans="2:17" x14ac:dyDescent="0.25">
      <c r="H103" s="4"/>
      <c r="I103" s="4"/>
      <c r="J103" s="4"/>
      <c r="K103" s="4"/>
      <c r="L103" s="4"/>
      <c r="M103" s="4"/>
      <c r="N103" s="4"/>
      <c r="O103" s="4"/>
      <c r="P103" s="4"/>
      <c r="Q103" s="4"/>
    </row>
    <row r="104" spans="2:17" x14ac:dyDescent="0.25">
      <c r="H104" s="4"/>
      <c r="I104" s="4"/>
      <c r="J104" s="4"/>
      <c r="K104" s="4"/>
      <c r="L104" s="4"/>
      <c r="M104" s="4"/>
      <c r="N104" s="4"/>
      <c r="O104" s="4"/>
      <c r="P104" s="4"/>
      <c r="Q104" s="4"/>
    </row>
    <row r="105" spans="2:17" x14ac:dyDescent="0.25">
      <c r="H105" s="4"/>
      <c r="I105" s="4"/>
      <c r="J105" s="4"/>
      <c r="K105" s="4"/>
      <c r="L105" s="4"/>
      <c r="M105" s="4"/>
      <c r="N105" s="4"/>
      <c r="O105" s="4"/>
      <c r="P105" s="4"/>
      <c r="Q105" s="4"/>
    </row>
    <row r="106" spans="2:17" x14ac:dyDescent="0.25">
      <c r="H106" s="4"/>
      <c r="I106" s="4"/>
      <c r="J106" s="4"/>
      <c r="K106" s="4"/>
      <c r="L106" s="4"/>
      <c r="M106" s="4"/>
      <c r="N106" s="4"/>
      <c r="O106" s="4"/>
      <c r="P106" s="4"/>
      <c r="Q106" s="4"/>
    </row>
    <row r="107" spans="2:17" x14ac:dyDescent="0.25">
      <c r="H107" s="4"/>
      <c r="I107" s="4"/>
      <c r="J107" s="4"/>
      <c r="K107" s="4"/>
      <c r="L107" s="4"/>
      <c r="M107" s="4"/>
      <c r="N107" s="4"/>
      <c r="O107" s="4"/>
      <c r="P107" s="4"/>
      <c r="Q107" s="4"/>
    </row>
  </sheetData>
  <dataConsolidate/>
  <mergeCells count="44">
    <mergeCell ref="D34:G34"/>
    <mergeCell ref="D35:G35"/>
    <mergeCell ref="D36:G36"/>
    <mergeCell ref="D37:G37"/>
    <mergeCell ref="C38:C41"/>
    <mergeCell ref="D38:G38"/>
    <mergeCell ref="D39:G39"/>
    <mergeCell ref="D40:G40"/>
    <mergeCell ref="D41:G41"/>
    <mergeCell ref="C30:C33"/>
    <mergeCell ref="D48:G48"/>
    <mergeCell ref="D30:G30"/>
    <mergeCell ref="D31:G31"/>
    <mergeCell ref="D32:G32"/>
    <mergeCell ref="D33:G33"/>
    <mergeCell ref="D43:G43"/>
    <mergeCell ref="D44:G44"/>
    <mergeCell ref="D45:G45"/>
    <mergeCell ref="D46:G46"/>
    <mergeCell ref="D47:G47"/>
    <mergeCell ref="C46:C49"/>
    <mergeCell ref="C42:C45"/>
    <mergeCell ref="D42:G42"/>
    <mergeCell ref="D49:G49"/>
    <mergeCell ref="C34:C37"/>
    <mergeCell ref="D27:G27"/>
    <mergeCell ref="D28:G28"/>
    <mergeCell ref="D29:G29"/>
    <mergeCell ref="C22:C25"/>
    <mergeCell ref="C26:C29"/>
    <mergeCell ref="D22:G22"/>
    <mergeCell ref="D23:G23"/>
    <mergeCell ref="D24:G24"/>
    <mergeCell ref="D25:G25"/>
    <mergeCell ref="D26:G26"/>
    <mergeCell ref="I2:P2"/>
    <mergeCell ref="R2:T2"/>
    <mergeCell ref="D19:G19"/>
    <mergeCell ref="D17:G17"/>
    <mergeCell ref="D18:G18"/>
    <mergeCell ref="B2:G2"/>
    <mergeCell ref="C18:C21"/>
    <mergeCell ref="D20:G20"/>
    <mergeCell ref="D21:G21"/>
  </mergeCells>
  <conditionalFormatting sqref="J4:Q34">
    <cfRule type="expression" dxfId="171" priority="1">
      <formula>J4=("hidden")</formula>
    </cfRule>
    <cfRule type="expression" dxfId="170" priority="2">
      <formula>J4=("toFill")</formula>
    </cfRule>
  </conditionalFormatting>
  <dataValidations count="1">
    <dataValidation type="list" allowBlank="1" showInputMessage="1" showErrorMessage="1" sqref="J4:O34" xr:uid="{00000000-0002-0000-0000-000000000000}">
      <formula1>"toFill,hidden"</formula1>
    </dataValidation>
  </dataValidations>
  <hyperlinks>
    <hyperlink ref="T4" r:id="rId1" xr:uid="{00000000-0004-0000-0000-000000000000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unCustomersList" altText="Run Costumers List">
                <anchor moveWithCells="1" sizeWithCells="1">
                  <from>
                    <xdr:col>17</xdr:col>
                    <xdr:colOff>19050</xdr:colOff>
                    <xdr:row>14</xdr:row>
                    <xdr:rowOff>38100</xdr:rowOff>
                  </from>
                  <to>
                    <xdr:col>19</xdr:col>
                    <xdr:colOff>581025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CustomersList">
    <tabColor theme="8" tint="-0.249977111117893"/>
  </sheetPr>
  <dimension ref="A1:I9"/>
  <sheetViews>
    <sheetView showGridLines="0" workbookViewId="0">
      <selection activeCell="C6" sqref="C2:C9"/>
      <pivotSelection pane="bottomRight" showHeader="1" dimension="2" activeRow="5" activeCol="2" click="1" r:id="rId1">
        <pivotArea dataOnly="0" labelOnly="1" outline="0" fieldPosition="0">
          <references count="1">
            <reference field="1" count="0"/>
          </references>
        </pivotArea>
      </pivotSelection>
    </sheetView>
  </sheetViews>
  <sheetFormatPr defaultColWidth="9.140625" defaultRowHeight="15" x14ac:dyDescent="0.25"/>
  <cols>
    <col min="1" max="1" width="5.140625" style="4" bestFit="1" customWidth="1"/>
    <col min="2" max="2" width="9.28515625" style="5" bestFit="1" customWidth="1"/>
    <col min="3" max="3" width="29.140625" style="4" bestFit="1" customWidth="1"/>
    <col min="4" max="4" width="29" style="4" bestFit="1" customWidth="1"/>
    <col min="5" max="5" width="19.42578125" style="4" bestFit="1" customWidth="1"/>
    <col min="6" max="7" width="15.28515625" style="4" bestFit="1" customWidth="1"/>
    <col min="8" max="8" width="14.42578125" style="4" bestFit="1" customWidth="1"/>
    <col min="9" max="9" width="8.5703125" style="4" bestFit="1" customWidth="1"/>
    <col min="10" max="16384" width="9.140625" style="4"/>
  </cols>
  <sheetData>
    <row r="1" spans="1:9" x14ac:dyDescent="0.25">
      <c r="A1" s="45" t="s">
        <v>89</v>
      </c>
      <c r="B1" s="45" t="s">
        <v>1916</v>
      </c>
      <c r="C1" s="45" t="s">
        <v>1915</v>
      </c>
      <c r="D1" s="45" t="s">
        <v>1914</v>
      </c>
      <c r="E1" s="45" t="s">
        <v>1913</v>
      </c>
      <c r="F1" s="45" t="s">
        <v>1917</v>
      </c>
      <c r="G1" s="45" t="s">
        <v>254</v>
      </c>
      <c r="H1" s="45" t="s">
        <v>1912</v>
      </c>
      <c r="I1" t="s">
        <v>1949</v>
      </c>
    </row>
    <row r="2" spans="1:9" x14ac:dyDescent="0.25">
      <c r="A2">
        <v>1</v>
      </c>
      <c r="B2">
        <v>500000</v>
      </c>
      <c r="C2" t="s">
        <v>2002</v>
      </c>
      <c r="D2" t="s">
        <v>1905</v>
      </c>
      <c r="E2" t="s">
        <v>2019</v>
      </c>
      <c r="F2" s="119">
        <v>44117</v>
      </c>
      <c r="G2" t="s">
        <v>2020</v>
      </c>
      <c r="H2" s="119">
        <v>44123</v>
      </c>
      <c r="I2" s="44">
        <v>1</v>
      </c>
    </row>
    <row r="3" spans="1:9" x14ac:dyDescent="0.25">
      <c r="A3">
        <v>2</v>
      </c>
      <c r="B3">
        <v>500001</v>
      </c>
      <c r="C3" t="s">
        <v>2002</v>
      </c>
      <c r="D3" t="s">
        <v>1906</v>
      </c>
      <c r="E3" t="s">
        <v>2019</v>
      </c>
      <c r="F3" s="119">
        <v>44118</v>
      </c>
      <c r="G3" t="s">
        <v>2020</v>
      </c>
      <c r="H3" s="119">
        <v>44124</v>
      </c>
      <c r="I3" s="44">
        <v>1</v>
      </c>
    </row>
    <row r="4" spans="1:9" x14ac:dyDescent="0.25">
      <c r="A4">
        <v>3</v>
      </c>
      <c r="B4">
        <v>500002</v>
      </c>
      <c r="C4" t="s">
        <v>2002</v>
      </c>
      <c r="D4" t="s">
        <v>1907</v>
      </c>
      <c r="E4" t="s">
        <v>2019</v>
      </c>
      <c r="F4" s="119">
        <v>44119</v>
      </c>
      <c r="G4" t="s">
        <v>2020</v>
      </c>
      <c r="H4" s="119">
        <v>44125</v>
      </c>
      <c r="I4" s="44">
        <v>1</v>
      </c>
    </row>
    <row r="5" spans="1:9" x14ac:dyDescent="0.25">
      <c r="A5">
        <v>4</v>
      </c>
      <c r="B5">
        <v>500003</v>
      </c>
      <c r="C5" t="s">
        <v>2002</v>
      </c>
      <c r="D5" t="s">
        <v>1905</v>
      </c>
      <c r="E5" t="s">
        <v>2019</v>
      </c>
      <c r="F5" s="119">
        <v>44120</v>
      </c>
      <c r="G5" t="s">
        <v>2020</v>
      </c>
      <c r="H5" s="119">
        <v>44126</v>
      </c>
      <c r="I5" s="44">
        <v>1</v>
      </c>
    </row>
    <row r="6" spans="1:9" x14ac:dyDescent="0.25">
      <c r="A6">
        <v>5</v>
      </c>
      <c r="B6">
        <v>500004</v>
      </c>
      <c r="C6" t="s">
        <v>2002</v>
      </c>
      <c r="D6" t="s">
        <v>1906</v>
      </c>
      <c r="E6" t="s">
        <v>2019</v>
      </c>
      <c r="F6" s="119">
        <v>44121</v>
      </c>
      <c r="G6" t="s">
        <v>2020</v>
      </c>
      <c r="H6" s="119">
        <v>44127</v>
      </c>
      <c r="I6" s="44">
        <v>1</v>
      </c>
    </row>
    <row r="7" spans="1:9" x14ac:dyDescent="0.25">
      <c r="A7">
        <v>6</v>
      </c>
      <c r="B7">
        <v>500005</v>
      </c>
      <c r="C7" t="s">
        <v>2002</v>
      </c>
      <c r="D7" t="s">
        <v>1907</v>
      </c>
      <c r="E7" t="s">
        <v>2019</v>
      </c>
      <c r="F7" s="119">
        <v>44122</v>
      </c>
      <c r="G7" t="s">
        <v>2020</v>
      </c>
      <c r="H7" s="119">
        <v>44128</v>
      </c>
      <c r="I7" s="44">
        <v>1</v>
      </c>
    </row>
    <row r="8" spans="1:9" x14ac:dyDescent="0.25">
      <c r="A8">
        <v>7</v>
      </c>
      <c r="B8">
        <v>500006</v>
      </c>
      <c r="C8" t="s">
        <v>2002</v>
      </c>
      <c r="D8" t="s">
        <v>1905</v>
      </c>
      <c r="E8" t="s">
        <v>2019</v>
      </c>
      <c r="F8" s="119">
        <v>44123</v>
      </c>
      <c r="G8" t="s">
        <v>2020</v>
      </c>
      <c r="H8" s="119">
        <v>44129</v>
      </c>
      <c r="I8" s="44">
        <v>1</v>
      </c>
    </row>
    <row r="9" spans="1:9" x14ac:dyDescent="0.25">
      <c r="A9">
        <v>8</v>
      </c>
      <c r="B9">
        <v>500007</v>
      </c>
      <c r="C9" t="s">
        <v>2002</v>
      </c>
      <c r="D9" t="s">
        <v>1906</v>
      </c>
      <c r="E9" t="s">
        <v>2019</v>
      </c>
      <c r="F9" s="119">
        <v>44124</v>
      </c>
      <c r="G9" t="s">
        <v>2020</v>
      </c>
      <c r="H9" s="119">
        <v>44130</v>
      </c>
      <c r="I9" s="44">
        <v>1</v>
      </c>
    </row>
  </sheetData>
  <dataConsolidate/>
  <phoneticPr fontId="6" type="noConversion"/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ataAdresses">
    <tabColor theme="8" tint="0.39997558519241921"/>
  </sheetPr>
  <dimension ref="A1:Y9"/>
  <sheetViews>
    <sheetView topLeftCell="J1" zoomScaleNormal="100" workbookViewId="0">
      <pane ySplit="1" topLeftCell="A2" activePane="bottomLeft" state="frozen"/>
      <selection pane="bottomLeft" activeCell="W2" sqref="W2"/>
    </sheetView>
  </sheetViews>
  <sheetFormatPr defaultColWidth="9.140625" defaultRowHeight="12.75" customHeight="1" x14ac:dyDescent="0.2"/>
  <cols>
    <col min="1" max="1" width="5.28515625" style="67" bestFit="1" customWidth="1"/>
    <col min="2" max="2" width="17.5703125" style="68" bestFit="1" customWidth="1"/>
    <col min="3" max="3" width="26.140625" style="69" bestFit="1" customWidth="1"/>
    <col min="4" max="4" width="25.85546875" style="70" bestFit="1" customWidth="1"/>
    <col min="5" max="5" width="23.85546875" style="70" bestFit="1" customWidth="1"/>
    <col min="6" max="6" width="24" style="70" bestFit="1" customWidth="1"/>
    <col min="7" max="7" width="24.85546875" style="70" bestFit="1" customWidth="1"/>
    <col min="8" max="8" width="23.42578125" style="67" bestFit="1" customWidth="1"/>
    <col min="9" max="9" width="17.42578125" style="67" bestFit="1" customWidth="1"/>
    <col min="10" max="10" width="16.5703125" style="67" bestFit="1" customWidth="1"/>
    <col min="11" max="11" width="14.5703125" style="67" bestFit="1" customWidth="1"/>
    <col min="12" max="12" width="7.85546875" style="67" bestFit="1" customWidth="1"/>
    <col min="13" max="13" width="12.28515625" style="67" bestFit="1" customWidth="1"/>
    <col min="14" max="14" width="15.5703125" style="67" bestFit="1" customWidth="1"/>
    <col min="15" max="15" width="14.42578125" style="67" bestFit="1" customWidth="1"/>
    <col min="16" max="16" width="10" style="67" bestFit="1" customWidth="1"/>
    <col min="17" max="17" width="13.85546875" style="67" bestFit="1" customWidth="1"/>
    <col min="18" max="18" width="14.28515625" style="67" bestFit="1" customWidth="1"/>
    <col min="19" max="19" width="6.42578125" style="67" bestFit="1" customWidth="1"/>
    <col min="20" max="20" width="29.42578125" style="67" bestFit="1" customWidth="1"/>
    <col min="21" max="21" width="31.7109375" style="67" bestFit="1" customWidth="1"/>
    <col min="22" max="22" width="17" style="67" bestFit="1" customWidth="1"/>
    <col min="23" max="23" width="22.140625" style="67" bestFit="1" customWidth="1"/>
    <col min="24" max="24" width="16.5703125" style="67" bestFit="1" customWidth="1"/>
    <col min="25" max="26" width="23.42578125" style="67" bestFit="1" customWidth="1"/>
    <col min="27" max="28" width="15.7109375" style="67" customWidth="1"/>
    <col min="29" max="16384" width="9.140625" style="67"/>
  </cols>
  <sheetData>
    <row r="1" spans="1:25" s="64" customFormat="1" ht="12.75" customHeight="1" x14ac:dyDescent="0.25">
      <c r="A1" s="60" t="s">
        <v>89</v>
      </c>
      <c r="B1" s="60" t="s">
        <v>166</v>
      </c>
      <c r="C1" s="61" t="s">
        <v>122</v>
      </c>
      <c r="D1" s="61" t="s">
        <v>123</v>
      </c>
      <c r="E1" s="61" t="s">
        <v>124</v>
      </c>
      <c r="F1" s="61" t="s">
        <v>125</v>
      </c>
      <c r="G1" s="62" t="s">
        <v>102</v>
      </c>
      <c r="H1" s="62" t="s">
        <v>103</v>
      </c>
      <c r="I1" s="62" t="s">
        <v>104</v>
      </c>
      <c r="J1" s="62" t="s">
        <v>105</v>
      </c>
      <c r="K1" s="62" t="s">
        <v>106</v>
      </c>
      <c r="L1" s="62" t="s">
        <v>107</v>
      </c>
      <c r="M1" s="62" t="s">
        <v>108</v>
      </c>
      <c r="N1" s="62" t="s">
        <v>129</v>
      </c>
      <c r="O1" s="62" t="s">
        <v>109</v>
      </c>
      <c r="P1" s="62" t="s">
        <v>91</v>
      </c>
      <c r="Q1" s="62" t="s">
        <v>110</v>
      </c>
      <c r="R1" s="62" t="s">
        <v>111</v>
      </c>
      <c r="S1" s="62" t="s">
        <v>92</v>
      </c>
      <c r="T1" s="62" t="s">
        <v>93</v>
      </c>
      <c r="U1" s="62" t="s">
        <v>164</v>
      </c>
      <c r="V1" s="61" t="s">
        <v>161</v>
      </c>
      <c r="W1" s="63" t="s">
        <v>126</v>
      </c>
      <c r="X1" s="61" t="s">
        <v>162</v>
      </c>
      <c r="Y1" s="63" t="s">
        <v>127</v>
      </c>
    </row>
    <row r="2" spans="1:25" s="22" customFormat="1" ht="12.75" customHeight="1" x14ac:dyDescent="0.25">
      <c r="A2" s="22">
        <v>1</v>
      </c>
      <c r="B2" s="65"/>
      <c r="C2" s="53" t="s">
        <v>2002</v>
      </c>
      <c r="D2" s="53" t="s">
        <v>2003</v>
      </c>
      <c r="E2" s="53"/>
      <c r="F2" s="53"/>
      <c r="H2" s="22" t="s">
        <v>2</v>
      </c>
      <c r="I2" s="22">
        <v>23</v>
      </c>
      <c r="M2" s="22">
        <v>2344</v>
      </c>
      <c r="N2" s="22" t="s">
        <v>3</v>
      </c>
      <c r="O2" s="22" t="s">
        <v>4</v>
      </c>
      <c r="Q2" s="22" t="s">
        <v>5</v>
      </c>
      <c r="R2" s="22">
        <v>2112345235</v>
      </c>
      <c r="T2" s="106" t="s">
        <v>2004</v>
      </c>
      <c r="U2" s="22" t="b">
        <v>0</v>
      </c>
      <c r="V2" s="53" t="s">
        <v>2019</v>
      </c>
      <c r="W2" s="66">
        <v>44117</v>
      </c>
      <c r="X2" s="53"/>
      <c r="Y2" s="66"/>
    </row>
    <row r="3" spans="1:25" ht="12.75" customHeight="1" x14ac:dyDescent="0.25">
      <c r="A3" s="22">
        <v>2</v>
      </c>
      <c r="B3" s="65"/>
      <c r="C3" s="104" t="s">
        <v>2002</v>
      </c>
      <c r="D3" s="104" t="s">
        <v>2005</v>
      </c>
      <c r="E3" s="104"/>
      <c r="F3" s="104"/>
      <c r="G3" s="22"/>
      <c r="H3" s="22" t="s">
        <v>2</v>
      </c>
      <c r="I3" s="22">
        <v>23</v>
      </c>
      <c r="J3" s="22"/>
      <c r="K3" s="22"/>
      <c r="L3" s="22"/>
      <c r="M3" s="22">
        <v>2344</v>
      </c>
      <c r="N3" s="22" t="s">
        <v>3</v>
      </c>
      <c r="O3" s="22" t="s">
        <v>4</v>
      </c>
      <c r="P3" s="22"/>
      <c r="Q3" s="22" t="s">
        <v>5</v>
      </c>
      <c r="R3" s="22">
        <v>2112345236</v>
      </c>
      <c r="S3" s="22"/>
      <c r="T3" s="106" t="s">
        <v>2004</v>
      </c>
      <c r="U3" s="22" t="b">
        <v>0</v>
      </c>
      <c r="V3" s="104" t="s">
        <v>2019</v>
      </c>
      <c r="W3" s="66">
        <v>44118</v>
      </c>
      <c r="X3" s="104"/>
      <c r="Y3" s="66"/>
    </row>
    <row r="4" spans="1:25" ht="12.75" customHeight="1" x14ac:dyDescent="0.25">
      <c r="A4" s="22">
        <v>3</v>
      </c>
      <c r="B4" s="65"/>
      <c r="C4" s="104" t="s">
        <v>2002</v>
      </c>
      <c r="D4" s="104" t="s">
        <v>2006</v>
      </c>
      <c r="E4" s="104"/>
      <c r="F4" s="104"/>
      <c r="G4" s="22"/>
      <c r="H4" s="22" t="s">
        <v>2</v>
      </c>
      <c r="I4" s="22">
        <v>23</v>
      </c>
      <c r="J4" s="22"/>
      <c r="K4" s="22"/>
      <c r="L4" s="22"/>
      <c r="M4" s="22">
        <v>2344</v>
      </c>
      <c r="N4" s="22" t="s">
        <v>3</v>
      </c>
      <c r="O4" s="22" t="s">
        <v>4</v>
      </c>
      <c r="P4" s="22"/>
      <c r="Q4" s="22" t="s">
        <v>5</v>
      </c>
      <c r="R4" s="22">
        <v>2112345237</v>
      </c>
      <c r="S4" s="22"/>
      <c r="T4" s="106" t="s">
        <v>2004</v>
      </c>
      <c r="U4" s="22" t="b">
        <v>0</v>
      </c>
      <c r="V4" s="104" t="s">
        <v>2019</v>
      </c>
      <c r="W4" s="66">
        <v>44119</v>
      </c>
      <c r="X4" s="104"/>
      <c r="Y4" s="66"/>
    </row>
    <row r="5" spans="1:25" ht="12.75" customHeight="1" x14ac:dyDescent="0.25">
      <c r="A5" s="22">
        <v>4</v>
      </c>
      <c r="B5" s="65"/>
      <c r="C5" s="104" t="s">
        <v>2002</v>
      </c>
      <c r="D5" s="104" t="s">
        <v>2007</v>
      </c>
      <c r="E5" s="104"/>
      <c r="F5" s="104"/>
      <c r="G5" s="22"/>
      <c r="H5" s="22" t="s">
        <v>2</v>
      </c>
      <c r="I5" s="22">
        <v>23</v>
      </c>
      <c r="J5" s="22"/>
      <c r="K5" s="22"/>
      <c r="L5" s="22"/>
      <c r="M5" s="22">
        <v>2344</v>
      </c>
      <c r="N5" s="22" t="s">
        <v>3</v>
      </c>
      <c r="O5" s="22" t="s">
        <v>4</v>
      </c>
      <c r="P5" s="22"/>
      <c r="Q5" s="22" t="s">
        <v>5</v>
      </c>
      <c r="R5" s="22">
        <v>2112345238</v>
      </c>
      <c r="S5" s="22"/>
      <c r="T5" s="106" t="s">
        <v>2004</v>
      </c>
      <c r="U5" s="22" t="b">
        <v>0</v>
      </c>
      <c r="V5" s="104" t="s">
        <v>2019</v>
      </c>
      <c r="W5" s="66">
        <v>44120</v>
      </c>
      <c r="X5" s="104"/>
      <c r="Y5" s="66"/>
    </row>
    <row r="6" spans="1:25" ht="12.75" customHeight="1" x14ac:dyDescent="0.25">
      <c r="A6" s="22">
        <v>5</v>
      </c>
      <c r="B6" s="65"/>
      <c r="C6" s="104" t="s">
        <v>2002</v>
      </c>
      <c r="D6" s="104" t="s">
        <v>2008</v>
      </c>
      <c r="E6" s="104"/>
      <c r="F6" s="104"/>
      <c r="G6" s="22"/>
      <c r="H6" s="22" t="s">
        <v>2</v>
      </c>
      <c r="I6" s="22">
        <v>23</v>
      </c>
      <c r="J6" s="22"/>
      <c r="K6" s="22"/>
      <c r="L6" s="22"/>
      <c r="M6" s="22">
        <v>2344</v>
      </c>
      <c r="N6" s="22" t="s">
        <v>3</v>
      </c>
      <c r="O6" s="22" t="s">
        <v>4</v>
      </c>
      <c r="P6" s="22"/>
      <c r="Q6" s="22" t="s">
        <v>5</v>
      </c>
      <c r="R6" s="22">
        <v>2112345239</v>
      </c>
      <c r="S6" s="22"/>
      <c r="T6" s="106" t="s">
        <v>2004</v>
      </c>
      <c r="U6" s="22" t="b">
        <v>0</v>
      </c>
      <c r="V6" s="104" t="s">
        <v>2019</v>
      </c>
      <c r="W6" s="66">
        <v>44121</v>
      </c>
      <c r="X6" s="104"/>
      <c r="Y6" s="66"/>
    </row>
    <row r="7" spans="1:25" ht="12.75" customHeight="1" x14ac:dyDescent="0.25">
      <c r="A7" s="22">
        <v>6</v>
      </c>
      <c r="B7" s="65"/>
      <c r="C7" s="104" t="s">
        <v>2002</v>
      </c>
      <c r="D7" s="104" t="s">
        <v>2009</v>
      </c>
      <c r="E7" s="104"/>
      <c r="F7" s="104"/>
      <c r="G7" s="22"/>
      <c r="H7" s="22" t="s">
        <v>2</v>
      </c>
      <c r="I7" s="22">
        <v>23</v>
      </c>
      <c r="J7" s="22"/>
      <c r="K7" s="22"/>
      <c r="L7" s="22"/>
      <c r="M7" s="22">
        <v>2344</v>
      </c>
      <c r="N7" s="22" t="s">
        <v>3</v>
      </c>
      <c r="O7" s="22" t="s">
        <v>4</v>
      </c>
      <c r="P7" s="22"/>
      <c r="Q7" s="22" t="s">
        <v>5</v>
      </c>
      <c r="R7" s="22">
        <v>2112345240</v>
      </c>
      <c r="S7" s="22"/>
      <c r="T7" s="106" t="s">
        <v>2004</v>
      </c>
      <c r="U7" s="22" t="b">
        <v>0</v>
      </c>
      <c r="V7" s="104" t="s">
        <v>2019</v>
      </c>
      <c r="W7" s="66">
        <v>44122</v>
      </c>
      <c r="X7" s="104"/>
      <c r="Y7" s="66"/>
    </row>
    <row r="8" spans="1:25" ht="12.75" customHeight="1" x14ac:dyDescent="0.25">
      <c r="A8" s="22">
        <v>7</v>
      </c>
      <c r="B8" s="65"/>
      <c r="C8" s="104" t="s">
        <v>2002</v>
      </c>
      <c r="D8" s="104" t="s">
        <v>2010</v>
      </c>
      <c r="E8" s="104"/>
      <c r="F8" s="104"/>
      <c r="G8" s="22"/>
      <c r="H8" s="22" t="s">
        <v>2</v>
      </c>
      <c r="I8" s="22">
        <v>23</v>
      </c>
      <c r="J8" s="22"/>
      <c r="K8" s="22"/>
      <c r="L8" s="22"/>
      <c r="M8" s="22">
        <v>2344</v>
      </c>
      <c r="N8" s="22" t="s">
        <v>3</v>
      </c>
      <c r="O8" s="22" t="s">
        <v>4</v>
      </c>
      <c r="P8" s="22"/>
      <c r="Q8" s="22" t="s">
        <v>5</v>
      </c>
      <c r="R8" s="22">
        <v>2112345241</v>
      </c>
      <c r="S8" s="22"/>
      <c r="T8" s="106" t="s">
        <v>2004</v>
      </c>
      <c r="U8" s="22" t="b">
        <v>0</v>
      </c>
      <c r="V8" s="104" t="s">
        <v>2019</v>
      </c>
      <c r="W8" s="66">
        <v>44123</v>
      </c>
      <c r="X8" s="104"/>
      <c r="Y8" s="66"/>
    </row>
    <row r="9" spans="1:25" ht="12.75" customHeight="1" x14ac:dyDescent="0.25">
      <c r="A9" s="22">
        <v>8</v>
      </c>
      <c r="B9" s="65"/>
      <c r="C9" s="104" t="s">
        <v>2002</v>
      </c>
      <c r="D9" s="104" t="s">
        <v>2011</v>
      </c>
      <c r="E9" s="104"/>
      <c r="F9" s="104"/>
      <c r="G9" s="22"/>
      <c r="H9" s="22" t="s">
        <v>2</v>
      </c>
      <c r="I9" s="22">
        <v>23</v>
      </c>
      <c r="J9" s="22"/>
      <c r="K9" s="22"/>
      <c r="L9" s="22"/>
      <c r="M9" s="22">
        <v>2344</v>
      </c>
      <c r="N9" s="22" t="s">
        <v>3</v>
      </c>
      <c r="O9" s="22" t="s">
        <v>4</v>
      </c>
      <c r="P9" s="22"/>
      <c r="Q9" s="22" t="s">
        <v>5</v>
      </c>
      <c r="R9" s="22">
        <v>2112345242</v>
      </c>
      <c r="S9" s="22"/>
      <c r="T9" s="106" t="s">
        <v>2004</v>
      </c>
      <c r="U9" s="22" t="b">
        <v>0</v>
      </c>
      <c r="V9" s="104" t="s">
        <v>2019</v>
      </c>
      <c r="W9" s="66">
        <v>44124</v>
      </c>
      <c r="X9" s="104"/>
      <c r="Y9" s="66"/>
    </row>
  </sheetData>
  <dataConsolidate/>
  <phoneticPr fontId="6" type="noConversion"/>
  <hyperlinks>
    <hyperlink ref="T2" r:id="rId1" xr:uid="{00000000-0004-0000-0200-000000000000}"/>
    <hyperlink ref="T3" r:id="rId2" xr:uid="{00000000-0004-0000-0200-000001000000}"/>
    <hyperlink ref="T4" r:id="rId3" xr:uid="{00000000-0004-0000-0200-000002000000}"/>
    <hyperlink ref="T6" r:id="rId4" xr:uid="{00000000-0004-0000-0200-000003000000}"/>
    <hyperlink ref="T8" r:id="rId5" xr:uid="{00000000-0004-0000-0200-000004000000}"/>
    <hyperlink ref="T5" r:id="rId6" xr:uid="{00000000-0004-0000-0200-000005000000}"/>
    <hyperlink ref="T7" r:id="rId7" xr:uid="{00000000-0004-0000-0200-000006000000}"/>
    <hyperlink ref="T9" r:id="rId8" xr:uid="{00000000-0004-0000-0200-000007000000}"/>
  </hyperlinks>
  <pageMargins left="0.7" right="0.7" top="0.75" bottom="0.75" header="0.3" footer="0.3"/>
  <pageSetup paperSize="9" orientation="portrait" horizontalDpi="300" verticalDpi="300" r:id="rId9"/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taControls">
    <tabColor theme="8" tint="0.39997558519241921"/>
  </sheetPr>
  <dimension ref="A1:O9"/>
  <sheetViews>
    <sheetView zoomScaleNormal="100" workbookViewId="0">
      <pane ySplit="1" topLeftCell="A2" activePane="bottomLeft" state="frozen"/>
      <selection pane="bottomLeft" activeCell="E14" sqref="E14"/>
    </sheetView>
  </sheetViews>
  <sheetFormatPr defaultColWidth="9.140625" defaultRowHeight="12.75" x14ac:dyDescent="0.2"/>
  <cols>
    <col min="1" max="1" width="5.28515625" style="80" bestFit="1" customWidth="1"/>
    <col min="2" max="2" width="10.42578125" style="68" bestFit="1" customWidth="1"/>
    <col min="3" max="3" width="13" style="68" bestFit="1" customWidth="1"/>
    <col min="4" max="4" width="18.7109375" style="68" bestFit="1" customWidth="1"/>
    <col min="5" max="5" width="22" style="68" bestFit="1" customWidth="1"/>
    <col min="6" max="6" width="20" style="68" bestFit="1" customWidth="1"/>
    <col min="7" max="7" width="20.140625" style="68" bestFit="1" customWidth="1"/>
    <col min="8" max="8" width="19" style="68" bestFit="1" customWidth="1"/>
    <col min="9" max="9" width="26.85546875" style="68" bestFit="1" customWidth="1"/>
    <col min="10" max="10" width="25.85546875" style="68" bestFit="1" customWidth="1"/>
    <col min="11" max="11" width="24.140625" style="68" bestFit="1" customWidth="1"/>
    <col min="12" max="12" width="17" style="68" bestFit="1" customWidth="1"/>
    <col min="13" max="13" width="22.140625" style="68" bestFit="1" customWidth="1"/>
    <col min="14" max="14" width="16.5703125" style="68" bestFit="1" customWidth="1"/>
    <col min="15" max="15" width="23.42578125" style="68" bestFit="1" customWidth="1"/>
    <col min="16" max="16384" width="9.140625" style="68"/>
  </cols>
  <sheetData>
    <row r="1" spans="1:15" x14ac:dyDescent="0.2">
      <c r="A1" s="71" t="s">
        <v>89</v>
      </c>
      <c r="B1" s="72" t="s">
        <v>112</v>
      </c>
      <c r="C1" s="72" t="s">
        <v>113</v>
      </c>
      <c r="D1" s="72" t="s">
        <v>114</v>
      </c>
      <c r="E1" s="72" t="s">
        <v>115</v>
      </c>
      <c r="F1" s="72" t="s">
        <v>116</v>
      </c>
      <c r="G1" s="72" t="s">
        <v>117</v>
      </c>
      <c r="H1" s="72" t="s">
        <v>118</v>
      </c>
      <c r="I1" s="72" t="s">
        <v>119</v>
      </c>
      <c r="J1" s="72" t="s">
        <v>120</v>
      </c>
      <c r="K1" s="72" t="s">
        <v>121</v>
      </c>
      <c r="L1" s="73" t="s">
        <v>161</v>
      </c>
      <c r="M1" s="74" t="s">
        <v>126</v>
      </c>
      <c r="N1" s="73" t="s">
        <v>162</v>
      </c>
      <c r="O1" s="74" t="s">
        <v>127</v>
      </c>
    </row>
    <row r="2" spans="1:15" s="79" customFormat="1" x14ac:dyDescent="0.2">
      <c r="A2" s="75">
        <v>1</v>
      </c>
      <c r="B2" s="75"/>
      <c r="C2" s="75"/>
      <c r="D2" s="75"/>
      <c r="E2" s="75"/>
      <c r="F2" s="75"/>
      <c r="G2" s="75"/>
      <c r="H2" s="75" t="b">
        <v>0</v>
      </c>
      <c r="I2" s="75"/>
      <c r="J2" s="75" t="s">
        <v>6</v>
      </c>
      <c r="K2" s="75" t="s">
        <v>96</v>
      </c>
      <c r="L2" s="76" t="s">
        <v>2019</v>
      </c>
      <c r="M2" s="77">
        <v>44117.774884259263</v>
      </c>
      <c r="N2" s="76"/>
      <c r="O2" s="77"/>
    </row>
    <row r="3" spans="1:15" s="111" customFormat="1" x14ac:dyDescent="0.2">
      <c r="A3" s="22">
        <v>2</v>
      </c>
      <c r="B3" s="22"/>
      <c r="C3" s="22"/>
      <c r="D3" s="22"/>
      <c r="E3" s="22"/>
      <c r="F3" s="22"/>
      <c r="G3" s="22"/>
      <c r="H3" s="22" t="b">
        <v>0</v>
      </c>
      <c r="I3" s="22"/>
      <c r="J3" s="22" t="s">
        <v>6</v>
      </c>
      <c r="K3" s="22" t="s">
        <v>96</v>
      </c>
      <c r="L3" s="104" t="s">
        <v>2019</v>
      </c>
      <c r="M3" s="66">
        <v>44118</v>
      </c>
      <c r="N3" s="104"/>
      <c r="O3" s="66"/>
    </row>
    <row r="4" spans="1:15" s="111" customFormat="1" x14ac:dyDescent="0.2">
      <c r="A4" s="22">
        <v>3</v>
      </c>
      <c r="B4" s="22"/>
      <c r="C4" s="22"/>
      <c r="D4" s="22"/>
      <c r="E4" s="22"/>
      <c r="F4" s="22"/>
      <c r="G4" s="22"/>
      <c r="H4" s="22" t="b">
        <v>0</v>
      </c>
      <c r="I4" s="22"/>
      <c r="J4" s="22" t="s">
        <v>6</v>
      </c>
      <c r="K4" s="22" t="s">
        <v>96</v>
      </c>
      <c r="L4" s="104" t="s">
        <v>2019</v>
      </c>
      <c r="M4" s="66">
        <v>44119</v>
      </c>
      <c r="N4" s="104"/>
      <c r="O4" s="66"/>
    </row>
    <row r="5" spans="1:15" s="111" customFormat="1" x14ac:dyDescent="0.2">
      <c r="A5" s="22">
        <v>4</v>
      </c>
      <c r="B5" s="22"/>
      <c r="C5" s="22"/>
      <c r="D5" s="22"/>
      <c r="E5" s="22"/>
      <c r="F5" s="22"/>
      <c r="G5" s="22"/>
      <c r="H5" s="22" t="b">
        <v>0</v>
      </c>
      <c r="I5" s="22"/>
      <c r="J5" s="22" t="s">
        <v>6</v>
      </c>
      <c r="K5" s="22" t="s">
        <v>96</v>
      </c>
      <c r="L5" s="104" t="s">
        <v>2019</v>
      </c>
      <c r="M5" s="66">
        <v>44120</v>
      </c>
      <c r="N5" s="104"/>
      <c r="O5" s="66"/>
    </row>
    <row r="6" spans="1:15" s="111" customFormat="1" x14ac:dyDescent="0.2">
      <c r="A6" s="22">
        <v>5</v>
      </c>
      <c r="B6" s="22"/>
      <c r="C6" s="22"/>
      <c r="D6" s="22"/>
      <c r="E6" s="22"/>
      <c r="F6" s="22"/>
      <c r="G6" s="22"/>
      <c r="H6" s="22" t="b">
        <v>0</v>
      </c>
      <c r="I6" s="22"/>
      <c r="J6" s="22" t="s">
        <v>6</v>
      </c>
      <c r="K6" s="22" t="s">
        <v>96</v>
      </c>
      <c r="L6" s="104" t="s">
        <v>2019</v>
      </c>
      <c r="M6" s="66">
        <v>44121</v>
      </c>
      <c r="N6" s="104"/>
      <c r="O6" s="66"/>
    </row>
    <row r="7" spans="1:15" s="111" customFormat="1" x14ac:dyDescent="0.2">
      <c r="A7" s="22">
        <v>6</v>
      </c>
      <c r="B7" s="22"/>
      <c r="C7" s="22"/>
      <c r="D7" s="22"/>
      <c r="E7" s="22"/>
      <c r="F7" s="22"/>
      <c r="G7" s="22"/>
      <c r="H7" s="22" t="b">
        <v>0</v>
      </c>
      <c r="I7" s="22"/>
      <c r="J7" s="22" t="s">
        <v>6</v>
      </c>
      <c r="K7" s="22" t="s">
        <v>96</v>
      </c>
      <c r="L7" s="104" t="s">
        <v>2019</v>
      </c>
      <c r="M7" s="66">
        <v>44122</v>
      </c>
      <c r="N7" s="104"/>
      <c r="O7" s="66"/>
    </row>
    <row r="8" spans="1:15" s="111" customFormat="1" x14ac:dyDescent="0.2">
      <c r="A8" s="22">
        <v>7</v>
      </c>
      <c r="B8" s="22"/>
      <c r="C8" s="22"/>
      <c r="D8" s="22"/>
      <c r="E8" s="22"/>
      <c r="F8" s="22"/>
      <c r="G8" s="22"/>
      <c r="H8" s="22" t="b">
        <v>0</v>
      </c>
      <c r="I8" s="22"/>
      <c r="J8" s="22" t="s">
        <v>6</v>
      </c>
      <c r="K8" s="22" t="s">
        <v>96</v>
      </c>
      <c r="L8" s="104" t="s">
        <v>2019</v>
      </c>
      <c r="M8" s="66">
        <v>44123</v>
      </c>
      <c r="N8" s="104"/>
      <c r="O8" s="66"/>
    </row>
    <row r="9" spans="1:15" s="111" customFormat="1" x14ac:dyDescent="0.2">
      <c r="A9" s="22">
        <v>8</v>
      </c>
      <c r="B9" s="22"/>
      <c r="C9" s="22"/>
      <c r="D9" s="22"/>
      <c r="E9" s="22"/>
      <c r="F9" s="22"/>
      <c r="G9" s="22"/>
      <c r="H9" s="22" t="b">
        <v>0</v>
      </c>
      <c r="I9" s="22"/>
      <c r="J9" s="22" t="s">
        <v>6</v>
      </c>
      <c r="K9" s="22" t="s">
        <v>96</v>
      </c>
      <c r="L9" s="104" t="s">
        <v>2019</v>
      </c>
      <c r="M9" s="66">
        <v>44124</v>
      </c>
      <c r="N9" s="104"/>
      <c r="O9" s="66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DataContacts">
    <tabColor theme="8" tint="0.39997558519241921"/>
  </sheetPr>
  <dimension ref="A1:M2"/>
  <sheetViews>
    <sheetView zoomScaleNormal="100" workbookViewId="0">
      <pane ySplit="1" topLeftCell="A2" activePane="bottomLeft" state="frozen"/>
      <selection pane="bottomLeft" activeCell="D3" sqref="D3"/>
    </sheetView>
  </sheetViews>
  <sheetFormatPr defaultColWidth="9.140625" defaultRowHeight="12.75" x14ac:dyDescent="0.2"/>
  <cols>
    <col min="1" max="1" width="5.28515625" style="80" bestFit="1" customWidth="1"/>
    <col min="2" max="2" width="13.7109375" style="107" bestFit="1" customWidth="1"/>
    <col min="3" max="3" width="13.140625" style="107" bestFit="1" customWidth="1"/>
    <col min="4" max="4" width="24.85546875" style="107" bestFit="1" customWidth="1"/>
    <col min="5" max="5" width="19.7109375" style="107" bestFit="1" customWidth="1"/>
    <col min="6" max="6" width="13.5703125" style="107" bestFit="1" customWidth="1"/>
    <col min="7" max="7" width="6.42578125" style="107" bestFit="1" customWidth="1"/>
    <col min="8" max="8" width="30.5703125" style="107" bestFit="1" customWidth="1"/>
    <col min="9" max="9" width="12.5703125" style="107" bestFit="1" customWidth="1"/>
    <col min="10" max="10" width="17" style="68" bestFit="1" customWidth="1"/>
    <col min="11" max="11" width="22.140625" style="68" bestFit="1" customWidth="1"/>
    <col min="12" max="12" width="16.5703125" style="68" bestFit="1" customWidth="1"/>
    <col min="13" max="13" width="23.42578125" style="68" bestFit="1" customWidth="1"/>
    <col min="14" max="16384" width="9.140625" style="68"/>
  </cols>
  <sheetData>
    <row r="1" spans="1:13" x14ac:dyDescent="0.2">
      <c r="A1" s="71" t="s">
        <v>89</v>
      </c>
      <c r="B1" s="72" t="s">
        <v>95</v>
      </c>
      <c r="C1" s="72" t="s">
        <v>101</v>
      </c>
      <c r="D1" s="72" t="s">
        <v>130</v>
      </c>
      <c r="E1" s="72" t="s">
        <v>131</v>
      </c>
      <c r="F1" s="72" t="s">
        <v>111</v>
      </c>
      <c r="G1" s="72" t="s">
        <v>92</v>
      </c>
      <c r="H1" s="72" t="s">
        <v>93</v>
      </c>
      <c r="I1" s="72" t="s">
        <v>110</v>
      </c>
      <c r="J1" s="73" t="s">
        <v>161</v>
      </c>
      <c r="K1" s="74" t="s">
        <v>126</v>
      </c>
      <c r="L1" s="73" t="s">
        <v>162</v>
      </c>
      <c r="M1" s="74" t="s">
        <v>127</v>
      </c>
    </row>
    <row r="2" spans="1:13" s="78" customFormat="1" x14ac:dyDescent="0.2">
      <c r="A2" s="75">
        <v>1</v>
      </c>
      <c r="B2" s="75" t="s">
        <v>7</v>
      </c>
      <c r="C2" s="75" t="s">
        <v>8</v>
      </c>
      <c r="D2" s="75" t="s">
        <v>9</v>
      </c>
      <c r="E2" s="75"/>
      <c r="F2" s="75"/>
      <c r="G2" s="75"/>
      <c r="H2" s="75"/>
      <c r="I2" s="75"/>
      <c r="J2" s="76" t="s">
        <v>2019</v>
      </c>
      <c r="K2" s="77">
        <v>44117.774884259263</v>
      </c>
      <c r="L2" s="76"/>
      <c r="M2" s="77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ataSales">
    <tabColor theme="5" tint="0.39997558519241921"/>
  </sheetPr>
  <dimension ref="A1:M9"/>
  <sheetViews>
    <sheetView zoomScaleNormal="100" workbookViewId="0">
      <pane ySplit="1" topLeftCell="A2" activePane="bottomLeft" state="frozen"/>
      <selection pane="bottomLeft" activeCell="F34" sqref="F34"/>
    </sheetView>
  </sheetViews>
  <sheetFormatPr defaultColWidth="9.140625" defaultRowHeight="12.75" x14ac:dyDescent="0.2"/>
  <cols>
    <col min="1" max="1" width="5.28515625" style="80" bestFit="1" customWidth="1"/>
    <col min="2" max="2" width="18.85546875" style="107" bestFit="1" customWidth="1"/>
    <col min="3" max="3" width="22.28515625" style="107" bestFit="1" customWidth="1"/>
    <col min="4" max="4" width="22.7109375" style="107" bestFit="1" customWidth="1"/>
    <col min="5" max="5" width="18.85546875" style="107" bestFit="1" customWidth="1"/>
    <col min="6" max="6" width="25.5703125" style="107" bestFit="1" customWidth="1"/>
    <col min="7" max="7" width="17" style="107" bestFit="1" customWidth="1"/>
    <col min="8" max="8" width="21.85546875" style="107" bestFit="1" customWidth="1"/>
    <col min="9" max="9" width="21.5703125" style="107" bestFit="1" customWidth="1"/>
    <col min="10" max="10" width="17" style="68" bestFit="1" customWidth="1"/>
    <col min="11" max="11" width="22.140625" style="68" bestFit="1" customWidth="1"/>
    <col min="12" max="12" width="16.5703125" style="68" bestFit="1" customWidth="1"/>
    <col min="13" max="13" width="23.42578125" style="68" bestFit="1" customWidth="1"/>
    <col min="14" max="16384" width="9.140625" style="68"/>
  </cols>
  <sheetData>
    <row r="1" spans="1:13" x14ac:dyDescent="0.2">
      <c r="A1" s="71" t="s">
        <v>89</v>
      </c>
      <c r="B1" s="72" t="s">
        <v>132</v>
      </c>
      <c r="C1" s="72" t="s">
        <v>133</v>
      </c>
      <c r="D1" s="72" t="s">
        <v>134</v>
      </c>
      <c r="E1" s="72" t="s">
        <v>135</v>
      </c>
      <c r="F1" s="72" t="s">
        <v>136</v>
      </c>
      <c r="G1" s="72" t="s">
        <v>137</v>
      </c>
      <c r="H1" s="72" t="s">
        <v>138</v>
      </c>
      <c r="I1" s="72" t="s">
        <v>139</v>
      </c>
      <c r="J1" s="73" t="s">
        <v>161</v>
      </c>
      <c r="K1" s="74" t="s">
        <v>126</v>
      </c>
      <c r="L1" s="73" t="s">
        <v>162</v>
      </c>
      <c r="M1" s="74" t="s">
        <v>127</v>
      </c>
    </row>
    <row r="2" spans="1:13" s="78" customFormat="1" x14ac:dyDescent="0.2">
      <c r="A2" s="75">
        <v>1</v>
      </c>
      <c r="B2" s="75" t="s">
        <v>10</v>
      </c>
      <c r="C2" s="75" t="s">
        <v>11</v>
      </c>
      <c r="D2" s="75" t="s">
        <v>12</v>
      </c>
      <c r="E2" s="75"/>
      <c r="F2" s="75" t="s">
        <v>13</v>
      </c>
      <c r="G2" s="75" t="s">
        <v>14</v>
      </c>
      <c r="H2" s="75"/>
      <c r="I2" s="75" t="s">
        <v>15</v>
      </c>
      <c r="J2" s="76" t="s">
        <v>2019</v>
      </c>
      <c r="K2" s="77">
        <v>44117.774884259263</v>
      </c>
      <c r="L2" s="76"/>
      <c r="M2" s="77"/>
    </row>
    <row r="3" spans="1:13" s="78" customFormat="1" x14ac:dyDescent="0.2">
      <c r="A3" s="22">
        <v>2</v>
      </c>
      <c r="B3" s="22" t="s">
        <v>10</v>
      </c>
      <c r="C3" s="22" t="s">
        <v>11</v>
      </c>
      <c r="D3" s="22" t="s">
        <v>12</v>
      </c>
      <c r="E3" s="22"/>
      <c r="F3" s="22" t="s">
        <v>13</v>
      </c>
      <c r="G3" s="22" t="s">
        <v>14</v>
      </c>
      <c r="H3" s="22"/>
      <c r="I3" s="22" t="s">
        <v>15</v>
      </c>
      <c r="J3" s="104" t="s">
        <v>2019</v>
      </c>
      <c r="K3" s="66">
        <v>44118</v>
      </c>
      <c r="L3" s="104"/>
      <c r="M3" s="66"/>
    </row>
    <row r="4" spans="1:13" s="78" customFormat="1" x14ac:dyDescent="0.2">
      <c r="A4" s="22">
        <v>3</v>
      </c>
      <c r="B4" s="22" t="s">
        <v>10</v>
      </c>
      <c r="C4" s="22" t="s">
        <v>11</v>
      </c>
      <c r="D4" s="22" t="s">
        <v>12</v>
      </c>
      <c r="E4" s="22"/>
      <c r="F4" s="22" t="s">
        <v>13</v>
      </c>
      <c r="G4" s="22" t="s">
        <v>14</v>
      </c>
      <c r="H4" s="22"/>
      <c r="I4" s="22" t="s">
        <v>15</v>
      </c>
      <c r="J4" s="104" t="s">
        <v>2019</v>
      </c>
      <c r="K4" s="66">
        <v>44119</v>
      </c>
      <c r="L4" s="104"/>
      <c r="M4" s="66"/>
    </row>
    <row r="5" spans="1:13" s="78" customFormat="1" x14ac:dyDescent="0.2">
      <c r="A5" s="22">
        <v>4</v>
      </c>
      <c r="B5" s="22" t="s">
        <v>10</v>
      </c>
      <c r="C5" s="22" t="s">
        <v>11</v>
      </c>
      <c r="D5" s="22" t="s">
        <v>12</v>
      </c>
      <c r="E5" s="22"/>
      <c r="F5" s="22" t="s">
        <v>13</v>
      </c>
      <c r="G5" s="22" t="s">
        <v>14</v>
      </c>
      <c r="H5" s="22"/>
      <c r="I5" s="22" t="s">
        <v>15</v>
      </c>
      <c r="J5" s="104" t="s">
        <v>2019</v>
      </c>
      <c r="K5" s="66">
        <v>44120</v>
      </c>
      <c r="L5" s="104"/>
      <c r="M5" s="66"/>
    </row>
    <row r="6" spans="1:13" s="78" customFormat="1" x14ac:dyDescent="0.2">
      <c r="A6" s="22">
        <v>5</v>
      </c>
      <c r="B6" s="22" t="s">
        <v>10</v>
      </c>
      <c r="C6" s="22" t="s">
        <v>11</v>
      </c>
      <c r="D6" s="22" t="s">
        <v>12</v>
      </c>
      <c r="E6" s="22"/>
      <c r="F6" s="22" t="s">
        <v>13</v>
      </c>
      <c r="G6" s="22" t="s">
        <v>14</v>
      </c>
      <c r="H6" s="22"/>
      <c r="I6" s="22" t="s">
        <v>15</v>
      </c>
      <c r="J6" s="104" t="s">
        <v>2019</v>
      </c>
      <c r="K6" s="66">
        <v>44121</v>
      </c>
      <c r="L6" s="104"/>
      <c r="M6" s="66"/>
    </row>
    <row r="7" spans="1:13" s="78" customFormat="1" x14ac:dyDescent="0.2">
      <c r="A7" s="22">
        <v>6</v>
      </c>
      <c r="B7" s="22" t="s">
        <v>10</v>
      </c>
      <c r="C7" s="22" t="s">
        <v>11</v>
      </c>
      <c r="D7" s="22" t="s">
        <v>12</v>
      </c>
      <c r="E7" s="22"/>
      <c r="F7" s="22" t="s">
        <v>13</v>
      </c>
      <c r="G7" s="22" t="s">
        <v>14</v>
      </c>
      <c r="H7" s="22"/>
      <c r="I7" s="22" t="s">
        <v>15</v>
      </c>
      <c r="J7" s="104" t="s">
        <v>2019</v>
      </c>
      <c r="K7" s="66">
        <v>44122</v>
      </c>
      <c r="L7" s="104"/>
      <c r="M7" s="66"/>
    </row>
    <row r="8" spans="1:13" x14ac:dyDescent="0.2">
      <c r="A8" s="22">
        <v>7</v>
      </c>
      <c r="B8" s="22" t="s">
        <v>10</v>
      </c>
      <c r="C8" s="22" t="s">
        <v>11</v>
      </c>
      <c r="D8" s="22" t="s">
        <v>12</v>
      </c>
      <c r="E8" s="22"/>
      <c r="F8" s="22" t="s">
        <v>13</v>
      </c>
      <c r="G8" s="22" t="s">
        <v>14</v>
      </c>
      <c r="H8" s="22"/>
      <c r="I8" s="22" t="s">
        <v>15</v>
      </c>
      <c r="J8" s="104" t="s">
        <v>2019</v>
      </c>
      <c r="K8" s="66">
        <v>44123</v>
      </c>
      <c r="L8" s="104"/>
      <c r="M8" s="66"/>
    </row>
    <row r="9" spans="1:13" x14ac:dyDescent="0.2">
      <c r="A9" s="22">
        <v>8</v>
      </c>
      <c r="B9" s="22" t="s">
        <v>10</v>
      </c>
      <c r="C9" s="22" t="s">
        <v>11</v>
      </c>
      <c r="D9" s="22" t="s">
        <v>12</v>
      </c>
      <c r="E9" s="22"/>
      <c r="F9" s="22" t="s">
        <v>13</v>
      </c>
      <c r="G9" s="22" t="s">
        <v>14</v>
      </c>
      <c r="H9" s="22"/>
      <c r="I9" s="22" t="s">
        <v>15</v>
      </c>
      <c r="J9" s="104" t="s">
        <v>2019</v>
      </c>
      <c r="K9" s="66">
        <v>44124</v>
      </c>
      <c r="L9" s="104"/>
      <c r="M9" s="66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DataShippings">
    <tabColor theme="5" tint="0.39997558519241921"/>
  </sheetPr>
  <dimension ref="A1:P9"/>
  <sheetViews>
    <sheetView workbookViewId="0">
      <pane ySplit="1" topLeftCell="A2" activePane="bottomLeft" state="frozen"/>
      <selection pane="bottomLeft" activeCell="C19" sqref="C19"/>
    </sheetView>
  </sheetViews>
  <sheetFormatPr defaultColWidth="9.140625" defaultRowHeight="12.75" x14ac:dyDescent="0.25"/>
  <cols>
    <col min="1" max="1" width="5.28515625" style="107" bestFit="1" customWidth="1"/>
    <col min="2" max="2" width="18.85546875" style="107" bestFit="1" customWidth="1"/>
    <col min="3" max="3" width="22.5703125" style="107" bestFit="1" customWidth="1"/>
    <col min="4" max="4" width="16.5703125" style="107" bestFit="1" customWidth="1"/>
    <col min="5" max="5" width="21.85546875" style="107" bestFit="1" customWidth="1"/>
    <col min="6" max="6" width="17.5703125" style="107" bestFit="1" customWidth="1"/>
    <col min="7" max="7" width="13" style="107" bestFit="1" customWidth="1"/>
    <col min="8" max="8" width="24.5703125" style="107" bestFit="1" customWidth="1"/>
    <col min="9" max="9" width="17.28515625" style="107" bestFit="1" customWidth="1"/>
    <col min="10" max="10" width="30" style="107" bestFit="1" customWidth="1"/>
    <col min="11" max="11" width="25.85546875" style="107" bestFit="1" customWidth="1"/>
    <col min="12" max="12" width="23.7109375" style="107" bestFit="1" customWidth="1"/>
    <col min="13" max="13" width="17" style="107" bestFit="1" customWidth="1"/>
    <col min="14" max="14" width="22.140625" style="107" bestFit="1" customWidth="1"/>
    <col min="15" max="15" width="16.5703125" style="107" bestFit="1" customWidth="1"/>
    <col min="16" max="16" width="23.42578125" style="107" bestFit="1" customWidth="1"/>
    <col min="17" max="16384" width="9.140625" style="107"/>
  </cols>
  <sheetData>
    <row r="1" spans="1:16" s="108" customFormat="1" x14ac:dyDescent="0.25">
      <c r="A1" s="71" t="s">
        <v>89</v>
      </c>
      <c r="B1" s="72" t="s">
        <v>140</v>
      </c>
      <c r="C1" s="72" t="s">
        <v>141</v>
      </c>
      <c r="D1" s="72" t="s">
        <v>142</v>
      </c>
      <c r="E1" s="72" t="s">
        <v>144</v>
      </c>
      <c r="F1" s="72" t="s">
        <v>145</v>
      </c>
      <c r="G1" s="72" t="s">
        <v>146</v>
      </c>
      <c r="H1" s="72" t="s">
        <v>147</v>
      </c>
      <c r="I1" s="72" t="s">
        <v>148</v>
      </c>
      <c r="J1" s="72" t="s">
        <v>143</v>
      </c>
      <c r="K1" s="72" t="s">
        <v>149</v>
      </c>
      <c r="L1" s="72" t="s">
        <v>150</v>
      </c>
      <c r="M1" s="73" t="s">
        <v>161</v>
      </c>
      <c r="N1" s="74" t="s">
        <v>126</v>
      </c>
      <c r="O1" s="73" t="s">
        <v>162</v>
      </c>
      <c r="P1" s="74" t="s">
        <v>127</v>
      </c>
    </row>
    <row r="2" spans="1:16" s="67" customFormat="1" x14ac:dyDescent="0.25">
      <c r="A2" s="75">
        <v>1</v>
      </c>
      <c r="B2" s="75"/>
      <c r="C2" s="75" t="s">
        <v>16</v>
      </c>
      <c r="D2" s="75"/>
      <c r="E2" s="75" t="b">
        <v>0</v>
      </c>
      <c r="F2" s="75"/>
      <c r="G2" s="75"/>
      <c r="H2" s="75"/>
      <c r="I2" s="75" t="b">
        <v>0</v>
      </c>
      <c r="J2" s="75" t="b">
        <v>1</v>
      </c>
      <c r="K2" s="75"/>
      <c r="L2" s="75"/>
      <c r="M2" s="76" t="s">
        <v>2019</v>
      </c>
      <c r="N2" s="77">
        <v>44117.774884259263</v>
      </c>
      <c r="O2" s="76"/>
      <c r="P2" s="77"/>
    </row>
    <row r="3" spans="1:16" s="67" customFormat="1" x14ac:dyDescent="0.25">
      <c r="A3" s="22">
        <v>2</v>
      </c>
      <c r="B3" s="22"/>
      <c r="C3" s="22" t="s">
        <v>16</v>
      </c>
      <c r="D3" s="22"/>
      <c r="E3" s="22" t="b">
        <v>0</v>
      </c>
      <c r="F3" s="22"/>
      <c r="G3" s="22"/>
      <c r="H3" s="22"/>
      <c r="I3" s="22" t="b">
        <v>0</v>
      </c>
      <c r="J3" s="22" t="b">
        <v>1</v>
      </c>
      <c r="K3" s="22"/>
      <c r="L3" s="22"/>
      <c r="M3" s="104" t="s">
        <v>2019</v>
      </c>
      <c r="N3" s="66">
        <v>44118</v>
      </c>
      <c r="O3" s="104"/>
      <c r="P3" s="66"/>
    </row>
    <row r="4" spans="1:16" s="67" customFormat="1" x14ac:dyDescent="0.25">
      <c r="A4" s="22">
        <v>3</v>
      </c>
      <c r="B4" s="22"/>
      <c r="C4" s="22" t="s">
        <v>16</v>
      </c>
      <c r="D4" s="22"/>
      <c r="E4" s="22" t="b">
        <v>0</v>
      </c>
      <c r="F4" s="22"/>
      <c r="G4" s="22"/>
      <c r="H4" s="22"/>
      <c r="I4" s="22" t="b">
        <v>0</v>
      </c>
      <c r="J4" s="22" t="b">
        <v>1</v>
      </c>
      <c r="K4" s="22"/>
      <c r="L4" s="22"/>
      <c r="M4" s="104" t="s">
        <v>2019</v>
      </c>
      <c r="N4" s="66">
        <v>44119</v>
      </c>
      <c r="O4" s="104"/>
      <c r="P4" s="66"/>
    </row>
    <row r="5" spans="1:16" x14ac:dyDescent="0.25">
      <c r="A5" s="22">
        <v>4</v>
      </c>
      <c r="B5" s="22"/>
      <c r="C5" s="22" t="s">
        <v>16</v>
      </c>
      <c r="D5" s="22"/>
      <c r="E5" s="22" t="b">
        <v>0</v>
      </c>
      <c r="F5" s="22"/>
      <c r="G5" s="22"/>
      <c r="H5" s="22"/>
      <c r="I5" s="22" t="b">
        <v>0</v>
      </c>
      <c r="J5" s="22" t="b">
        <v>1</v>
      </c>
      <c r="K5" s="22"/>
      <c r="L5" s="22"/>
      <c r="M5" s="104" t="s">
        <v>2019</v>
      </c>
      <c r="N5" s="66">
        <v>44120</v>
      </c>
      <c r="O5" s="104"/>
      <c r="P5" s="66"/>
    </row>
    <row r="6" spans="1:16" x14ac:dyDescent="0.25">
      <c r="A6" s="22">
        <v>5</v>
      </c>
      <c r="B6" s="22"/>
      <c r="C6" s="22" t="s">
        <v>16</v>
      </c>
      <c r="D6" s="22"/>
      <c r="E6" s="22" t="b">
        <v>0</v>
      </c>
      <c r="F6" s="22"/>
      <c r="G6" s="22"/>
      <c r="H6" s="22"/>
      <c r="I6" s="22" t="b">
        <v>0</v>
      </c>
      <c r="J6" s="22" t="b">
        <v>1</v>
      </c>
      <c r="K6" s="22"/>
      <c r="L6" s="22"/>
      <c r="M6" s="104" t="s">
        <v>2019</v>
      </c>
      <c r="N6" s="66">
        <v>44121</v>
      </c>
      <c r="O6" s="104"/>
      <c r="P6" s="66"/>
    </row>
    <row r="7" spans="1:16" x14ac:dyDescent="0.25">
      <c r="A7" s="22">
        <v>6</v>
      </c>
      <c r="B7" s="22"/>
      <c r="C7" s="22" t="s">
        <v>16</v>
      </c>
      <c r="D7" s="22"/>
      <c r="E7" s="22" t="b">
        <v>0</v>
      </c>
      <c r="F7" s="22"/>
      <c r="G7" s="22"/>
      <c r="H7" s="22"/>
      <c r="I7" s="22" t="b">
        <v>0</v>
      </c>
      <c r="J7" s="22" t="b">
        <v>1</v>
      </c>
      <c r="K7" s="22"/>
      <c r="L7" s="22"/>
      <c r="M7" s="104" t="s">
        <v>2019</v>
      </c>
      <c r="N7" s="66">
        <v>44122</v>
      </c>
      <c r="O7" s="104"/>
      <c r="P7" s="66"/>
    </row>
    <row r="8" spans="1:16" x14ac:dyDescent="0.25">
      <c r="A8" s="22">
        <v>7</v>
      </c>
      <c r="B8" s="22"/>
      <c r="C8" s="22" t="s">
        <v>16</v>
      </c>
      <c r="D8" s="22"/>
      <c r="E8" s="22" t="b">
        <v>0</v>
      </c>
      <c r="F8" s="22"/>
      <c r="G8" s="22"/>
      <c r="H8" s="22"/>
      <c r="I8" s="22" t="b">
        <v>0</v>
      </c>
      <c r="J8" s="22" t="b">
        <v>1</v>
      </c>
      <c r="K8" s="22"/>
      <c r="L8" s="22"/>
      <c r="M8" s="104" t="s">
        <v>2019</v>
      </c>
      <c r="N8" s="66">
        <v>44123</v>
      </c>
      <c r="O8" s="104"/>
      <c r="P8" s="66"/>
    </row>
    <row r="9" spans="1:16" x14ac:dyDescent="0.25">
      <c r="A9" s="22">
        <v>8</v>
      </c>
      <c r="B9" s="22"/>
      <c r="C9" s="22" t="s">
        <v>16</v>
      </c>
      <c r="D9" s="22"/>
      <c r="E9" s="22" t="b">
        <v>0</v>
      </c>
      <c r="F9" s="22"/>
      <c r="G9" s="22"/>
      <c r="H9" s="22"/>
      <c r="I9" s="22" t="b">
        <v>0</v>
      </c>
      <c r="J9" s="22" t="b">
        <v>1</v>
      </c>
      <c r="K9" s="22"/>
      <c r="L9" s="22"/>
      <c r="M9" s="104" t="s">
        <v>2019</v>
      </c>
      <c r="N9" s="66">
        <v>44124</v>
      </c>
      <c r="O9" s="104"/>
      <c r="P9" s="66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DataBillings">
    <tabColor theme="5" tint="0.39997558519241921"/>
  </sheetPr>
  <dimension ref="A1:L9"/>
  <sheetViews>
    <sheetView workbookViewId="0">
      <pane ySplit="1" topLeftCell="A2" activePane="bottomLeft" state="frozen"/>
      <selection pane="bottomLeft" activeCell="A2" sqref="A2:L9"/>
    </sheetView>
  </sheetViews>
  <sheetFormatPr defaultColWidth="9.140625" defaultRowHeight="12.75" x14ac:dyDescent="0.25"/>
  <cols>
    <col min="1" max="1" width="7.5703125" style="107" bestFit="1" customWidth="1"/>
    <col min="2" max="2" width="10.140625" style="107" bestFit="1" customWidth="1"/>
    <col min="3" max="3" width="32.28515625" style="107" bestFit="1" customWidth="1"/>
    <col min="4" max="4" width="30.5703125" style="107" bestFit="1" customWidth="1"/>
    <col min="5" max="5" width="30.140625" style="107" bestFit="1" customWidth="1"/>
    <col min="6" max="6" width="16.85546875" style="107" bestFit="1" customWidth="1"/>
    <col min="7" max="7" width="20.42578125" style="107" bestFit="1" customWidth="1"/>
    <col min="8" max="8" width="28.140625" style="107" bestFit="1" customWidth="1"/>
    <col min="9" max="9" width="17" style="107" bestFit="1" customWidth="1"/>
    <col min="10" max="10" width="22.140625" style="107" bestFit="1" customWidth="1"/>
    <col min="11" max="11" width="16.5703125" style="107" bestFit="1" customWidth="1"/>
    <col min="12" max="12" width="23.42578125" style="107" bestFit="1" customWidth="1"/>
    <col min="13" max="16384" width="9.140625" style="107"/>
  </cols>
  <sheetData>
    <row r="1" spans="1:12" s="108" customFormat="1" x14ac:dyDescent="0.25">
      <c r="A1" s="71" t="s">
        <v>89</v>
      </c>
      <c r="B1" s="72" t="s">
        <v>151</v>
      </c>
      <c r="C1" s="72" t="s">
        <v>152</v>
      </c>
      <c r="D1" s="72" t="s">
        <v>153</v>
      </c>
      <c r="E1" s="72" t="s">
        <v>94</v>
      </c>
      <c r="F1" s="72" t="s">
        <v>154</v>
      </c>
      <c r="G1" s="72" t="s">
        <v>155</v>
      </c>
      <c r="H1" s="72" t="s">
        <v>156</v>
      </c>
      <c r="I1" s="73" t="s">
        <v>161</v>
      </c>
      <c r="J1" s="74" t="s">
        <v>126</v>
      </c>
      <c r="K1" s="73" t="s">
        <v>162</v>
      </c>
      <c r="L1" s="74" t="s">
        <v>127</v>
      </c>
    </row>
    <row r="2" spans="1:12" s="67" customFormat="1" x14ac:dyDescent="0.25">
      <c r="A2" s="75">
        <v>1</v>
      </c>
      <c r="B2" s="75" t="b">
        <v>0</v>
      </c>
      <c r="C2" s="75"/>
      <c r="D2" s="75"/>
      <c r="E2" s="75" t="s">
        <v>17</v>
      </c>
      <c r="F2" s="75" t="s">
        <v>18</v>
      </c>
      <c r="G2" s="75" t="s">
        <v>19</v>
      </c>
      <c r="H2" s="75"/>
      <c r="I2" s="76" t="s">
        <v>2019</v>
      </c>
      <c r="J2" s="77">
        <v>44117.774884259263</v>
      </c>
      <c r="K2" s="76"/>
      <c r="L2" s="77"/>
    </row>
    <row r="3" spans="1:12" s="67" customFormat="1" x14ac:dyDescent="0.25">
      <c r="A3" s="22">
        <v>2</v>
      </c>
      <c r="B3" s="22" t="b">
        <v>0</v>
      </c>
      <c r="C3" s="22"/>
      <c r="D3" s="22"/>
      <c r="E3" s="22" t="s">
        <v>17</v>
      </c>
      <c r="F3" s="22" t="s">
        <v>18</v>
      </c>
      <c r="G3" s="22" t="s">
        <v>2012</v>
      </c>
      <c r="H3" s="22"/>
      <c r="I3" s="104" t="s">
        <v>2019</v>
      </c>
      <c r="J3" s="66">
        <v>44118</v>
      </c>
      <c r="K3" s="104"/>
      <c r="L3" s="66"/>
    </row>
    <row r="4" spans="1:12" s="67" customFormat="1" x14ac:dyDescent="0.25">
      <c r="A4" s="22">
        <v>3</v>
      </c>
      <c r="B4" s="22" t="b">
        <v>0</v>
      </c>
      <c r="C4" s="22"/>
      <c r="D4" s="22"/>
      <c r="E4" s="22" t="s">
        <v>17</v>
      </c>
      <c r="F4" s="22" t="s">
        <v>18</v>
      </c>
      <c r="G4" s="22" t="s">
        <v>2013</v>
      </c>
      <c r="H4" s="22"/>
      <c r="I4" s="104" t="s">
        <v>2019</v>
      </c>
      <c r="J4" s="66">
        <v>44119</v>
      </c>
      <c r="K4" s="104"/>
      <c r="L4" s="66"/>
    </row>
    <row r="5" spans="1:12" s="67" customFormat="1" x14ac:dyDescent="0.25">
      <c r="A5" s="22">
        <v>4</v>
      </c>
      <c r="B5" s="22" t="b">
        <v>0</v>
      </c>
      <c r="C5" s="22"/>
      <c r="D5" s="22"/>
      <c r="E5" s="22" t="s">
        <v>17</v>
      </c>
      <c r="F5" s="22" t="s">
        <v>18</v>
      </c>
      <c r="G5" s="22" t="s">
        <v>1601</v>
      </c>
      <c r="H5" s="22"/>
      <c r="I5" s="104" t="s">
        <v>2019</v>
      </c>
      <c r="J5" s="66">
        <v>44120</v>
      </c>
      <c r="K5" s="104"/>
      <c r="L5" s="66"/>
    </row>
    <row r="6" spans="1:12" x14ac:dyDescent="0.25">
      <c r="A6" s="22">
        <v>5</v>
      </c>
      <c r="B6" s="22" t="b">
        <v>0</v>
      </c>
      <c r="C6" s="22"/>
      <c r="D6" s="22"/>
      <c r="E6" s="22" t="s">
        <v>17</v>
      </c>
      <c r="F6" s="22" t="s">
        <v>18</v>
      </c>
      <c r="G6" s="22" t="s">
        <v>2014</v>
      </c>
      <c r="H6" s="22"/>
      <c r="I6" s="104" t="s">
        <v>2019</v>
      </c>
      <c r="J6" s="66">
        <v>44121</v>
      </c>
      <c r="K6" s="104"/>
      <c r="L6" s="66"/>
    </row>
    <row r="7" spans="1:12" x14ac:dyDescent="0.25">
      <c r="A7" s="22">
        <v>6</v>
      </c>
      <c r="B7" s="22" t="b">
        <v>0</v>
      </c>
      <c r="C7" s="22"/>
      <c r="D7" s="22"/>
      <c r="E7" s="22" t="s">
        <v>17</v>
      </c>
      <c r="F7" s="22" t="s">
        <v>18</v>
      </c>
      <c r="G7" s="22" t="s">
        <v>2015</v>
      </c>
      <c r="H7" s="22"/>
      <c r="I7" s="104" t="s">
        <v>2019</v>
      </c>
      <c r="J7" s="66">
        <v>44122</v>
      </c>
      <c r="K7" s="104"/>
      <c r="L7" s="66"/>
    </row>
    <row r="8" spans="1:12" x14ac:dyDescent="0.25">
      <c r="A8" s="22">
        <v>7</v>
      </c>
      <c r="B8" s="22" t="b">
        <v>0</v>
      </c>
      <c r="C8" s="22"/>
      <c r="D8" s="22"/>
      <c r="E8" s="22" t="s">
        <v>17</v>
      </c>
      <c r="F8" s="22" t="s">
        <v>18</v>
      </c>
      <c r="G8" s="22" t="s">
        <v>2016</v>
      </c>
      <c r="H8" s="22"/>
      <c r="I8" s="104" t="s">
        <v>2019</v>
      </c>
      <c r="J8" s="66">
        <v>44123</v>
      </c>
      <c r="K8" s="104"/>
      <c r="L8" s="66"/>
    </row>
    <row r="9" spans="1:12" x14ac:dyDescent="0.25">
      <c r="A9" s="22">
        <v>8</v>
      </c>
      <c r="B9" s="22" t="b">
        <v>0</v>
      </c>
      <c r="C9" s="22"/>
      <c r="D9" s="22"/>
      <c r="E9" s="22" t="s">
        <v>17</v>
      </c>
      <c r="F9" s="22" t="s">
        <v>18</v>
      </c>
      <c r="G9" s="22" t="s">
        <v>2017</v>
      </c>
      <c r="H9" s="22"/>
      <c r="I9" s="104" t="s">
        <v>2019</v>
      </c>
      <c r="J9" s="66">
        <v>44124</v>
      </c>
      <c r="K9" s="104"/>
      <c r="L9" s="66"/>
    </row>
  </sheetData>
  <dataConsolidate/>
  <phoneticPr fontId="6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DataPartners">
    <tabColor theme="5" tint="0.39997558519241921"/>
  </sheetPr>
  <dimension ref="A1:H2"/>
  <sheetViews>
    <sheetView workbookViewId="0">
      <pane ySplit="1" topLeftCell="A2" activePane="bottomLeft" state="frozen"/>
      <selection pane="bottomLeft" activeCell="B7" sqref="B7"/>
    </sheetView>
  </sheetViews>
  <sheetFormatPr defaultColWidth="9.140625" defaultRowHeight="12.75" x14ac:dyDescent="0.2"/>
  <cols>
    <col min="1" max="1" width="5.28515625" style="80" bestFit="1" customWidth="1"/>
    <col min="2" max="2" width="20.42578125" style="107" bestFit="1" customWidth="1"/>
    <col min="3" max="3" width="13.140625" style="107" bestFit="1" customWidth="1"/>
    <col min="4" max="4" width="22.85546875" style="107" bestFit="1" customWidth="1"/>
    <col min="5" max="5" width="17" style="68" bestFit="1" customWidth="1"/>
    <col min="6" max="6" width="22.140625" style="68" bestFit="1" customWidth="1"/>
    <col min="7" max="7" width="16.5703125" style="68" bestFit="1" customWidth="1"/>
    <col min="8" max="8" width="23.42578125" style="68" bestFit="1" customWidth="1"/>
    <col min="9" max="16384" width="9.140625" style="68"/>
  </cols>
  <sheetData>
    <row r="1" spans="1:8" x14ac:dyDescent="0.2">
      <c r="A1" s="71" t="s">
        <v>89</v>
      </c>
      <c r="B1" s="72" t="s">
        <v>159</v>
      </c>
      <c r="C1" s="72" t="s">
        <v>160</v>
      </c>
      <c r="D1" s="72" t="s">
        <v>95</v>
      </c>
      <c r="E1" s="73" t="s">
        <v>161</v>
      </c>
      <c r="F1" s="74" t="s">
        <v>126</v>
      </c>
      <c r="G1" s="73" t="s">
        <v>162</v>
      </c>
      <c r="H1" s="74" t="s">
        <v>127</v>
      </c>
    </row>
    <row r="2" spans="1:8" s="78" customFormat="1" x14ac:dyDescent="0.2">
      <c r="A2" s="75">
        <v>1</v>
      </c>
      <c r="B2" s="75" t="s">
        <v>20</v>
      </c>
      <c r="C2" s="75">
        <v>650276</v>
      </c>
      <c r="D2" s="75" t="s">
        <v>165</v>
      </c>
      <c r="E2" s="76" t="s">
        <v>2019</v>
      </c>
      <c r="F2" s="77">
        <v>44117.774884259263</v>
      </c>
      <c r="G2" s="76"/>
      <c r="H2" s="77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ataExtras">
    <tabColor theme="5" tint="0.39997558519241921"/>
  </sheetPr>
  <dimension ref="A1:G9"/>
  <sheetViews>
    <sheetView workbookViewId="0">
      <pane ySplit="1" topLeftCell="A2" activePane="bottomLeft" state="frozen"/>
      <selection pane="bottomLeft" activeCell="E19" sqref="E19"/>
    </sheetView>
  </sheetViews>
  <sheetFormatPr defaultColWidth="9.140625" defaultRowHeight="12.75" x14ac:dyDescent="0.2"/>
  <cols>
    <col min="1" max="1" width="5.28515625" style="80" bestFit="1" customWidth="1"/>
    <col min="2" max="2" width="36.28515625" style="68" bestFit="1" customWidth="1"/>
    <col min="3" max="3" width="21.85546875" style="68" bestFit="1" customWidth="1"/>
    <col min="4" max="4" width="17" style="68" bestFit="1" customWidth="1"/>
    <col min="5" max="5" width="22.140625" style="68" bestFit="1" customWidth="1"/>
    <col min="6" max="6" width="16.5703125" style="68" bestFit="1" customWidth="1"/>
    <col min="7" max="7" width="23.42578125" style="68" bestFit="1" customWidth="1"/>
    <col min="8" max="16384" width="9.140625" style="68"/>
  </cols>
  <sheetData>
    <row r="1" spans="1:7" x14ac:dyDescent="0.2">
      <c r="A1" s="71" t="s">
        <v>89</v>
      </c>
      <c r="B1" s="109" t="s">
        <v>157</v>
      </c>
      <c r="C1" s="109" t="s">
        <v>158</v>
      </c>
      <c r="D1" s="73" t="s">
        <v>161</v>
      </c>
      <c r="E1" s="74" t="s">
        <v>126</v>
      </c>
      <c r="F1" s="73" t="s">
        <v>162</v>
      </c>
      <c r="G1" s="74" t="s">
        <v>127</v>
      </c>
    </row>
    <row r="2" spans="1:7" x14ac:dyDescent="0.2">
      <c r="A2" s="75">
        <v>1</v>
      </c>
      <c r="B2" s="75" t="s">
        <v>22</v>
      </c>
      <c r="C2" s="75"/>
      <c r="D2" s="76" t="s">
        <v>2019</v>
      </c>
      <c r="E2" s="77">
        <v>44117.774884259263</v>
      </c>
      <c r="F2" s="76"/>
      <c r="G2" s="77"/>
    </row>
    <row r="3" spans="1:7" x14ac:dyDescent="0.2">
      <c r="A3" s="22">
        <v>2</v>
      </c>
      <c r="B3" s="22" t="s">
        <v>22</v>
      </c>
      <c r="C3" s="22"/>
      <c r="D3" s="104" t="s">
        <v>2019</v>
      </c>
      <c r="E3" s="66">
        <v>44118</v>
      </c>
      <c r="F3" s="104"/>
      <c r="G3" s="66"/>
    </row>
    <row r="4" spans="1:7" x14ac:dyDescent="0.2">
      <c r="A4" s="22">
        <v>3</v>
      </c>
      <c r="B4" s="22" t="s">
        <v>22</v>
      </c>
      <c r="C4" s="22"/>
      <c r="D4" s="104" t="s">
        <v>2019</v>
      </c>
      <c r="E4" s="66">
        <v>44119</v>
      </c>
      <c r="F4" s="104"/>
      <c r="G4" s="66"/>
    </row>
    <row r="5" spans="1:7" x14ac:dyDescent="0.2">
      <c r="A5" s="22">
        <v>4</v>
      </c>
      <c r="B5" s="22" t="s">
        <v>22</v>
      </c>
      <c r="C5" s="22"/>
      <c r="D5" s="104" t="s">
        <v>2019</v>
      </c>
      <c r="E5" s="66">
        <v>44120</v>
      </c>
      <c r="F5" s="104"/>
      <c r="G5" s="66"/>
    </row>
    <row r="6" spans="1:7" x14ac:dyDescent="0.2">
      <c r="A6" s="22">
        <v>5</v>
      </c>
      <c r="B6" s="22" t="s">
        <v>22</v>
      </c>
      <c r="C6" s="22"/>
      <c r="D6" s="104" t="s">
        <v>2019</v>
      </c>
      <c r="E6" s="66">
        <v>44121</v>
      </c>
      <c r="F6" s="104"/>
      <c r="G6" s="66"/>
    </row>
    <row r="7" spans="1:7" x14ac:dyDescent="0.2">
      <c r="A7" s="22">
        <v>6</v>
      </c>
      <c r="B7" s="22" t="s">
        <v>22</v>
      </c>
      <c r="C7" s="22"/>
      <c r="D7" s="104" t="s">
        <v>2019</v>
      </c>
      <c r="E7" s="66">
        <v>44122</v>
      </c>
      <c r="F7" s="104"/>
      <c r="G7" s="66"/>
    </row>
    <row r="8" spans="1:7" x14ac:dyDescent="0.2">
      <c r="A8" s="22">
        <v>7</v>
      </c>
      <c r="B8" s="22" t="s">
        <v>22</v>
      </c>
      <c r="C8" s="22"/>
      <c r="D8" s="104" t="s">
        <v>2019</v>
      </c>
      <c r="E8" s="66">
        <v>44123</v>
      </c>
      <c r="F8" s="104"/>
      <c r="G8" s="66"/>
    </row>
    <row r="9" spans="1:7" x14ac:dyDescent="0.2">
      <c r="A9" s="22">
        <v>8</v>
      </c>
      <c r="B9" s="22" t="s">
        <v>22</v>
      </c>
      <c r="C9" s="22"/>
      <c r="D9" s="104" t="s">
        <v>2019</v>
      </c>
      <c r="E9" s="66">
        <v>44124</v>
      </c>
      <c r="F9" s="104"/>
      <c r="G9" s="66"/>
    </row>
  </sheetData>
  <dataConsolidate/>
  <phoneticPr fontId="6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DataRpaStatus">
    <tabColor theme="7" tint="0.39997558519241921"/>
  </sheetPr>
  <dimension ref="A1:H9"/>
  <sheetViews>
    <sheetView workbookViewId="0">
      <pane ySplit="1" topLeftCell="A2" activePane="bottomLeft" state="frozen"/>
      <selection pane="bottomLeft" activeCell="F18" sqref="F18"/>
    </sheetView>
  </sheetViews>
  <sheetFormatPr defaultColWidth="9.140625" defaultRowHeight="12.75" x14ac:dyDescent="0.25"/>
  <cols>
    <col min="1" max="1" width="5.28515625" style="107" bestFit="1" customWidth="1"/>
    <col min="2" max="2" width="17.7109375" style="110" bestFit="1" customWidth="1"/>
    <col min="3" max="3" width="21" style="110" bestFit="1" customWidth="1"/>
    <col min="4" max="4" width="11.140625" style="110" bestFit="1" customWidth="1"/>
    <col min="5" max="5" width="17.5703125" style="110" bestFit="1" customWidth="1"/>
    <col min="6" max="6" width="25.28515625" style="107" bestFit="1" customWidth="1"/>
    <col min="7" max="7" width="17.42578125" style="107" bestFit="1" customWidth="1"/>
    <col min="8" max="8" width="24.42578125" style="107" bestFit="1" customWidth="1"/>
    <col min="9" max="16384" width="9.140625" style="107"/>
  </cols>
  <sheetData>
    <row r="1" spans="1:8" s="108" customFormat="1" x14ac:dyDescent="0.25">
      <c r="A1" s="71" t="s">
        <v>89</v>
      </c>
      <c r="B1" s="112" t="s">
        <v>98</v>
      </c>
      <c r="C1" s="112" t="s">
        <v>1883</v>
      </c>
      <c r="D1" s="112" t="s">
        <v>100</v>
      </c>
      <c r="E1" s="60" t="s">
        <v>166</v>
      </c>
      <c r="F1" s="73" t="s">
        <v>90</v>
      </c>
      <c r="G1" s="73" t="s">
        <v>163</v>
      </c>
      <c r="H1" s="74" t="s">
        <v>128</v>
      </c>
    </row>
    <row r="2" spans="1:8" s="67" customFormat="1" x14ac:dyDescent="0.25">
      <c r="A2" s="113">
        <v>1</v>
      </c>
      <c r="B2" s="114" t="s">
        <v>1947</v>
      </c>
      <c r="C2" s="114">
        <v>2961</v>
      </c>
      <c r="D2" s="114" t="s">
        <v>1948</v>
      </c>
      <c r="E2" s="115">
        <v>500000</v>
      </c>
      <c r="F2" s="116" t="s">
        <v>1905</v>
      </c>
      <c r="G2" s="116" t="s">
        <v>2020</v>
      </c>
      <c r="H2" s="117">
        <v>44123</v>
      </c>
    </row>
    <row r="3" spans="1:8" x14ac:dyDescent="0.25">
      <c r="A3" s="22">
        <v>2</v>
      </c>
      <c r="B3" s="65" t="s">
        <v>1947</v>
      </c>
      <c r="C3" s="65" t="s">
        <v>2018</v>
      </c>
      <c r="D3" s="65" t="s">
        <v>1948</v>
      </c>
      <c r="E3" s="118">
        <v>500001</v>
      </c>
      <c r="F3" s="104" t="s">
        <v>1906</v>
      </c>
      <c r="G3" s="104" t="s">
        <v>2020</v>
      </c>
      <c r="H3" s="66">
        <v>44124</v>
      </c>
    </row>
    <row r="4" spans="1:8" x14ac:dyDescent="0.25">
      <c r="A4" s="22">
        <v>3</v>
      </c>
      <c r="B4" s="65" t="s">
        <v>1947</v>
      </c>
      <c r="C4" s="65" t="s">
        <v>2018</v>
      </c>
      <c r="D4" s="65" t="s">
        <v>1948</v>
      </c>
      <c r="E4" s="118">
        <v>500002</v>
      </c>
      <c r="F4" s="104" t="s">
        <v>1907</v>
      </c>
      <c r="G4" s="104" t="s">
        <v>2020</v>
      </c>
      <c r="H4" s="66">
        <v>44125</v>
      </c>
    </row>
    <row r="5" spans="1:8" x14ac:dyDescent="0.25">
      <c r="A5" s="22">
        <v>4</v>
      </c>
      <c r="B5" s="65" t="s">
        <v>1947</v>
      </c>
      <c r="C5" s="65" t="s">
        <v>2018</v>
      </c>
      <c r="D5" s="65" t="s">
        <v>1948</v>
      </c>
      <c r="E5" s="118">
        <v>500003</v>
      </c>
      <c r="F5" s="104" t="s">
        <v>1905</v>
      </c>
      <c r="G5" s="104" t="s">
        <v>2020</v>
      </c>
      <c r="H5" s="66">
        <v>44126</v>
      </c>
    </row>
    <row r="6" spans="1:8" x14ac:dyDescent="0.25">
      <c r="A6" s="22">
        <v>5</v>
      </c>
      <c r="B6" s="65" t="s">
        <v>1947</v>
      </c>
      <c r="C6" s="65" t="s">
        <v>2018</v>
      </c>
      <c r="D6" s="65" t="s">
        <v>1948</v>
      </c>
      <c r="E6" s="118">
        <v>500004</v>
      </c>
      <c r="F6" s="104" t="s">
        <v>1906</v>
      </c>
      <c r="G6" s="104" t="s">
        <v>2020</v>
      </c>
      <c r="H6" s="66">
        <v>44127</v>
      </c>
    </row>
    <row r="7" spans="1:8" x14ac:dyDescent="0.25">
      <c r="A7" s="22">
        <v>6</v>
      </c>
      <c r="B7" s="65" t="s">
        <v>1947</v>
      </c>
      <c r="C7" s="65" t="s">
        <v>2018</v>
      </c>
      <c r="D7" s="65" t="s">
        <v>1948</v>
      </c>
      <c r="E7" s="118">
        <v>500005</v>
      </c>
      <c r="F7" s="104" t="s">
        <v>1907</v>
      </c>
      <c r="G7" s="104" t="s">
        <v>2020</v>
      </c>
      <c r="H7" s="66">
        <v>44128</v>
      </c>
    </row>
    <row r="8" spans="1:8" x14ac:dyDescent="0.25">
      <c r="A8" s="22">
        <v>7</v>
      </c>
      <c r="B8" s="65" t="s">
        <v>1947</v>
      </c>
      <c r="C8" s="65" t="s">
        <v>2018</v>
      </c>
      <c r="D8" s="65" t="s">
        <v>1948</v>
      </c>
      <c r="E8" s="118">
        <v>500006</v>
      </c>
      <c r="F8" s="104" t="s">
        <v>1905</v>
      </c>
      <c r="G8" s="104" t="s">
        <v>2020</v>
      </c>
      <c r="H8" s="66">
        <v>44129</v>
      </c>
    </row>
    <row r="9" spans="1:8" x14ac:dyDescent="0.25">
      <c r="A9" s="22">
        <v>8</v>
      </c>
      <c r="B9" s="65" t="s">
        <v>1947</v>
      </c>
      <c r="C9" s="65" t="s">
        <v>2018</v>
      </c>
      <c r="D9" s="65" t="s">
        <v>1948</v>
      </c>
      <c r="E9" s="118">
        <v>500007</v>
      </c>
      <c r="F9" s="104" t="s">
        <v>1906</v>
      </c>
      <c r="G9" s="104" t="s">
        <v>2020</v>
      </c>
      <c r="H9" s="66">
        <v>44130</v>
      </c>
    </row>
  </sheetData>
  <dataConsolidate/>
  <phoneticPr fontId="6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CaptionSourcesEN">
    <tabColor theme="3"/>
  </sheetPr>
  <dimension ref="A1:D163"/>
  <sheetViews>
    <sheetView workbookViewId="0">
      <selection activeCell="B19" sqref="B19"/>
    </sheetView>
  </sheetViews>
  <sheetFormatPr defaultColWidth="9.140625" defaultRowHeight="15" x14ac:dyDescent="0.25"/>
  <cols>
    <col min="1" max="1" width="41" bestFit="1" customWidth="1"/>
    <col min="2" max="2" width="58.28515625" style="42" bestFit="1" customWidth="1"/>
    <col min="3" max="3" width="46.5703125" style="2" bestFit="1" customWidth="1"/>
    <col min="4" max="5" width="16.140625" style="2" bestFit="1" customWidth="1"/>
    <col min="6" max="6" width="27.85546875" style="2" bestFit="1" customWidth="1"/>
    <col min="7" max="7" width="26" style="2" bestFit="1" customWidth="1"/>
    <col min="8" max="8" width="24.85546875" style="2" bestFit="1" customWidth="1"/>
    <col min="9" max="9" width="24.42578125" style="2" bestFit="1" customWidth="1"/>
    <col min="10" max="10" width="22.42578125" style="2" bestFit="1" customWidth="1"/>
    <col min="11" max="12" width="25.5703125" style="2" bestFit="1" customWidth="1"/>
    <col min="13" max="13" width="29.140625" style="2" bestFit="1" customWidth="1"/>
    <col min="14" max="14" width="27.7109375" style="2" bestFit="1" customWidth="1"/>
    <col min="15" max="15" width="20.5703125" style="2" bestFit="1" customWidth="1"/>
    <col min="16" max="16" width="43.85546875" style="2" bestFit="1" customWidth="1"/>
    <col min="17" max="17" width="37.5703125" style="2" bestFit="1" customWidth="1"/>
    <col min="18" max="18" width="49.140625" style="2" bestFit="1" customWidth="1"/>
    <col min="19" max="19" width="48" style="2" bestFit="1" customWidth="1"/>
    <col min="20" max="20" width="64.42578125" style="2" bestFit="1" customWidth="1"/>
    <col min="21" max="21" width="55" style="2" bestFit="1" customWidth="1"/>
    <col min="22" max="22" width="33.140625" style="2" bestFit="1" customWidth="1"/>
    <col min="23" max="23" width="32.7109375" style="2" bestFit="1" customWidth="1"/>
    <col min="24" max="24" width="21.7109375" style="2" bestFit="1" customWidth="1"/>
    <col min="25" max="25" width="23.7109375" style="2" bestFit="1" customWidth="1"/>
    <col min="26" max="26" width="13.140625" style="2" bestFit="1" customWidth="1"/>
    <col min="27" max="27" width="15.42578125" style="2" bestFit="1" customWidth="1"/>
    <col min="28" max="28" width="24.42578125" style="2" bestFit="1" customWidth="1"/>
    <col min="29" max="29" width="22.85546875" style="2" bestFit="1" customWidth="1"/>
    <col min="30" max="16384" width="9.140625" style="2"/>
  </cols>
  <sheetData>
    <row r="1" spans="1:4" s="1" customFormat="1" ht="15.75" x14ac:dyDescent="0.25">
      <c r="A1" s="36" t="s">
        <v>350</v>
      </c>
      <c r="B1" s="39" t="s">
        <v>291</v>
      </c>
      <c r="C1" s="36" t="s">
        <v>290</v>
      </c>
      <c r="D1" s="36" t="s">
        <v>167</v>
      </c>
    </row>
    <row r="2" spans="1:4" x14ac:dyDescent="0.25">
      <c r="A2" s="7" t="s">
        <v>1918</v>
      </c>
      <c r="B2" s="40" t="s">
        <v>292</v>
      </c>
      <c r="C2" s="7"/>
      <c r="D2" s="7" t="s">
        <v>289</v>
      </c>
    </row>
    <row r="3" spans="1:4" ht="30" x14ac:dyDescent="0.25">
      <c r="A3" s="8" t="s">
        <v>1919</v>
      </c>
      <c r="B3" s="9" t="s">
        <v>298</v>
      </c>
      <c r="C3" s="9"/>
      <c r="D3" s="8" t="s">
        <v>169</v>
      </c>
    </row>
    <row r="4" spans="1:4" x14ac:dyDescent="0.25">
      <c r="A4" s="8" t="s">
        <v>1920</v>
      </c>
      <c r="B4" s="9" t="s">
        <v>351</v>
      </c>
      <c r="C4" s="8" t="s">
        <v>296</v>
      </c>
      <c r="D4" s="8" t="s">
        <v>293</v>
      </c>
    </row>
    <row r="5" spans="1:4" x14ac:dyDescent="0.25">
      <c r="A5" s="8" t="s">
        <v>1921</v>
      </c>
      <c r="B5" s="9" t="s">
        <v>294</v>
      </c>
      <c r="C5" s="8" t="s">
        <v>295</v>
      </c>
      <c r="D5" s="8" t="s">
        <v>293</v>
      </c>
    </row>
    <row r="6" spans="1:4" x14ac:dyDescent="0.25">
      <c r="A6" s="37" t="s">
        <v>1922</v>
      </c>
      <c r="B6" s="9" t="s">
        <v>1924</v>
      </c>
      <c r="C6" s="8" t="s">
        <v>1923</v>
      </c>
      <c r="D6" s="8" t="s">
        <v>293</v>
      </c>
    </row>
    <row r="7" spans="1:4" x14ac:dyDescent="0.25">
      <c r="A7" s="8" t="s">
        <v>1927</v>
      </c>
      <c r="B7" s="9" t="s">
        <v>354</v>
      </c>
      <c r="C7" s="8"/>
      <c r="D7" s="37" t="s">
        <v>289</v>
      </c>
    </row>
    <row r="8" spans="1:4" ht="30" x14ac:dyDescent="0.25">
      <c r="A8" s="8" t="s">
        <v>1928</v>
      </c>
      <c r="B8" s="9" t="s">
        <v>352</v>
      </c>
      <c r="C8" s="8"/>
      <c r="D8" s="8" t="s">
        <v>169</v>
      </c>
    </row>
    <row r="9" spans="1:4" x14ac:dyDescent="0.25">
      <c r="A9" s="8" t="s">
        <v>1929</v>
      </c>
      <c r="B9" s="9" t="s">
        <v>357</v>
      </c>
      <c r="C9" s="8"/>
      <c r="D9" s="8" t="s">
        <v>355</v>
      </c>
    </row>
    <row r="10" spans="1:4" x14ac:dyDescent="0.25">
      <c r="A10" s="8" t="s">
        <v>1930</v>
      </c>
      <c r="B10" s="9" t="s">
        <v>358</v>
      </c>
      <c r="C10" s="8"/>
      <c r="D10" s="8" t="s">
        <v>355</v>
      </c>
    </row>
    <row r="11" spans="1:4" x14ac:dyDescent="0.25">
      <c r="A11" s="8" t="s">
        <v>1931</v>
      </c>
      <c r="B11" s="9" t="s">
        <v>100</v>
      </c>
      <c r="C11" s="8"/>
      <c r="D11" s="8" t="s">
        <v>355</v>
      </c>
    </row>
    <row r="12" spans="1:4" x14ac:dyDescent="0.25">
      <c r="A12" s="8" t="s">
        <v>1932</v>
      </c>
      <c r="B12" s="9" t="s">
        <v>368</v>
      </c>
      <c r="C12" s="8"/>
      <c r="D12" s="8" t="s">
        <v>355</v>
      </c>
    </row>
    <row r="13" spans="1:4" x14ac:dyDescent="0.25">
      <c r="A13" s="8" t="s">
        <v>1950</v>
      </c>
      <c r="B13" s="9" t="s">
        <v>1942</v>
      </c>
      <c r="C13" s="8"/>
      <c r="D13" s="8" t="s">
        <v>356</v>
      </c>
    </row>
    <row r="14" spans="1:4" x14ac:dyDescent="0.25">
      <c r="A14" s="8" t="s">
        <v>1951</v>
      </c>
      <c r="B14" s="9" t="s">
        <v>1940</v>
      </c>
      <c r="C14" s="8"/>
      <c r="D14" s="8" t="s">
        <v>356</v>
      </c>
    </row>
    <row r="15" spans="1:4" x14ac:dyDescent="0.25">
      <c r="A15" s="8" t="s">
        <v>1933</v>
      </c>
      <c r="B15" s="9" t="s">
        <v>359</v>
      </c>
      <c r="C15" s="8"/>
      <c r="D15" s="8" t="s">
        <v>355</v>
      </c>
    </row>
    <row r="16" spans="1:4" x14ac:dyDescent="0.25">
      <c r="A16" s="8" t="s">
        <v>1934</v>
      </c>
      <c r="B16" s="9" t="s">
        <v>1935</v>
      </c>
      <c r="C16" s="8"/>
      <c r="D16" s="8" t="s">
        <v>355</v>
      </c>
    </row>
    <row r="17" spans="1:4" x14ac:dyDescent="0.25">
      <c r="A17" s="8" t="s">
        <v>1937</v>
      </c>
      <c r="B17" s="9" t="s">
        <v>367</v>
      </c>
      <c r="C17" s="8" t="s">
        <v>1944</v>
      </c>
      <c r="D17" s="8" t="s">
        <v>293</v>
      </c>
    </row>
    <row r="18" spans="1:4" x14ac:dyDescent="0.25">
      <c r="A18" s="8" t="s">
        <v>361</v>
      </c>
      <c r="B18" s="9" t="s">
        <v>360</v>
      </c>
      <c r="C18" s="8" t="s">
        <v>1924</v>
      </c>
      <c r="D18" s="8" t="s">
        <v>293</v>
      </c>
    </row>
    <row r="19" spans="1:4" x14ac:dyDescent="0.25">
      <c r="A19" s="8"/>
      <c r="B19" s="9"/>
      <c r="C19" s="8"/>
      <c r="D19" s="8"/>
    </row>
    <row r="20" spans="1:4" x14ac:dyDescent="0.25">
      <c r="A20" s="8"/>
      <c r="B20" s="9"/>
      <c r="C20" s="8"/>
      <c r="D20" s="8"/>
    </row>
    <row r="21" spans="1:4" x14ac:dyDescent="0.25">
      <c r="A21" s="8"/>
      <c r="B21" s="9"/>
      <c r="C21" s="8"/>
      <c r="D21" s="8"/>
    </row>
    <row r="22" spans="1:4" x14ac:dyDescent="0.25">
      <c r="A22" s="8"/>
      <c r="B22" s="9"/>
      <c r="C22" s="8"/>
      <c r="D22" s="8"/>
    </row>
    <row r="23" spans="1:4" x14ac:dyDescent="0.25">
      <c r="A23" s="8"/>
      <c r="B23" s="9"/>
      <c r="C23" s="8"/>
      <c r="D23" s="8"/>
    </row>
    <row r="24" spans="1:4" x14ac:dyDescent="0.25">
      <c r="A24" s="8"/>
      <c r="B24" s="9"/>
      <c r="C24" s="8"/>
      <c r="D24" s="8"/>
    </row>
    <row r="25" spans="1:4" x14ac:dyDescent="0.25">
      <c r="A25" s="8" t="e">
        <v>#N/A</v>
      </c>
      <c r="B25" s="9" t="s">
        <v>170</v>
      </c>
      <c r="C25" s="8"/>
      <c r="D25" s="8" t="s">
        <v>169</v>
      </c>
    </row>
    <row r="26" spans="1:4" x14ac:dyDescent="0.25">
      <c r="A26" s="8" t="s">
        <v>99</v>
      </c>
      <c r="B26" s="9" t="s">
        <v>171</v>
      </c>
      <c r="C26" s="8"/>
      <c r="D26" s="8" t="s">
        <v>169</v>
      </c>
    </row>
    <row r="27" spans="1:4" x14ac:dyDescent="0.25">
      <c r="A27" s="8" t="s">
        <v>100</v>
      </c>
      <c r="B27" s="9" t="s">
        <v>172</v>
      </c>
      <c r="C27" s="8"/>
      <c r="D27" s="8" t="s">
        <v>169</v>
      </c>
    </row>
    <row r="28" spans="1:4" x14ac:dyDescent="0.25">
      <c r="A28" s="8" t="e">
        <v>#N/A</v>
      </c>
      <c r="B28" s="9" t="s">
        <v>110</v>
      </c>
      <c r="C28" s="8"/>
      <c r="D28" s="8" t="s">
        <v>169</v>
      </c>
    </row>
    <row r="29" spans="1:4" x14ac:dyDescent="0.25">
      <c r="A29" s="8" t="e">
        <v>#N/A</v>
      </c>
      <c r="B29" s="9" t="s">
        <v>173</v>
      </c>
      <c r="C29" s="8"/>
      <c r="D29" s="8" t="s">
        <v>169</v>
      </c>
    </row>
    <row r="30" spans="1:4" x14ac:dyDescent="0.25">
      <c r="A30" s="8" t="s">
        <v>102</v>
      </c>
      <c r="B30" s="9" t="s">
        <v>175</v>
      </c>
      <c r="C30" s="8"/>
      <c r="D30" s="8" t="s">
        <v>174</v>
      </c>
    </row>
    <row r="31" spans="1:4" x14ac:dyDescent="0.25">
      <c r="A31" s="8" t="e">
        <v>#N/A</v>
      </c>
      <c r="B31" s="9" t="s">
        <v>176</v>
      </c>
      <c r="C31" s="8"/>
      <c r="D31" s="8" t="s">
        <v>169</v>
      </c>
    </row>
    <row r="32" spans="1:4" x14ac:dyDescent="0.25">
      <c r="A32" s="8" t="e">
        <v>#N/A</v>
      </c>
      <c r="B32" s="9" t="s">
        <v>177</v>
      </c>
      <c r="C32" s="8"/>
      <c r="D32" s="8" t="s">
        <v>169</v>
      </c>
    </row>
    <row r="33" spans="1:4" x14ac:dyDescent="0.25">
      <c r="A33" s="8" t="s">
        <v>93</v>
      </c>
      <c r="B33" s="9" t="s">
        <v>178</v>
      </c>
      <c r="C33" s="8"/>
      <c r="D33" s="8" t="s">
        <v>169</v>
      </c>
    </row>
    <row r="34" spans="1:4" x14ac:dyDescent="0.25">
      <c r="A34" s="8" t="s">
        <v>92</v>
      </c>
      <c r="B34" s="9" t="s">
        <v>92</v>
      </c>
      <c r="C34" s="8"/>
      <c r="D34" s="8" t="s">
        <v>169</v>
      </c>
    </row>
    <row r="35" spans="1:4" x14ac:dyDescent="0.25">
      <c r="A35" s="8" t="e">
        <v>#N/A</v>
      </c>
      <c r="B35" s="9" t="s">
        <v>179</v>
      </c>
      <c r="C35" s="8"/>
      <c r="D35" s="8" t="s">
        <v>169</v>
      </c>
    </row>
    <row r="36" spans="1:4" x14ac:dyDescent="0.25">
      <c r="A36" s="8" t="s">
        <v>109</v>
      </c>
      <c r="B36" s="9" t="s">
        <v>109</v>
      </c>
      <c r="C36" s="8"/>
      <c r="D36" s="8" t="s">
        <v>169</v>
      </c>
    </row>
    <row r="37" spans="1:4" x14ac:dyDescent="0.25">
      <c r="A37" s="8" t="e">
        <v>#N/A</v>
      </c>
      <c r="B37" s="9" t="s">
        <v>180</v>
      </c>
      <c r="C37" s="8"/>
      <c r="D37" s="8" t="s">
        <v>169</v>
      </c>
    </row>
    <row r="38" spans="1:4" x14ac:dyDescent="0.25">
      <c r="A38" s="8" t="e">
        <v>#N/A</v>
      </c>
      <c r="B38" s="9" t="s">
        <v>95</v>
      </c>
      <c r="C38" s="8"/>
      <c r="D38" s="8" t="s">
        <v>169</v>
      </c>
    </row>
    <row r="39" spans="1:4" x14ac:dyDescent="0.25">
      <c r="A39" s="8" t="s">
        <v>129</v>
      </c>
      <c r="B39" s="9" t="s">
        <v>129</v>
      </c>
      <c r="C39" s="8"/>
      <c r="D39" s="8" t="s">
        <v>169</v>
      </c>
    </row>
    <row r="40" spans="1:4" x14ac:dyDescent="0.25">
      <c r="A40" s="8" t="s">
        <v>107</v>
      </c>
      <c r="B40" s="9" t="s">
        <v>181</v>
      </c>
      <c r="C40" s="8"/>
      <c r="D40" s="8" t="s">
        <v>169</v>
      </c>
    </row>
    <row r="41" spans="1:4" x14ac:dyDescent="0.25">
      <c r="A41" s="8" t="e">
        <v>#N/A</v>
      </c>
      <c r="B41" s="9" t="s">
        <v>182</v>
      </c>
      <c r="C41" s="8"/>
      <c r="D41" s="8" t="s">
        <v>169</v>
      </c>
    </row>
    <row r="42" spans="1:4" x14ac:dyDescent="0.25">
      <c r="A42" s="8" t="s">
        <v>110</v>
      </c>
      <c r="B42" s="9" t="s">
        <v>110</v>
      </c>
      <c r="C42" s="8"/>
      <c r="D42" s="8" t="s">
        <v>169</v>
      </c>
    </row>
    <row r="43" spans="1:4" x14ac:dyDescent="0.25">
      <c r="A43" s="8" t="s">
        <v>103</v>
      </c>
      <c r="B43" s="9" t="s">
        <v>103</v>
      </c>
      <c r="C43" s="8"/>
      <c r="D43" s="8" t="s">
        <v>169</v>
      </c>
    </row>
    <row r="44" spans="1:4" x14ac:dyDescent="0.25">
      <c r="A44" s="8" t="e">
        <v>#N/A</v>
      </c>
      <c r="B44" s="9" t="s">
        <v>183</v>
      </c>
      <c r="C44" s="8"/>
      <c r="D44" s="8" t="s">
        <v>169</v>
      </c>
    </row>
    <row r="45" spans="1:4" x14ac:dyDescent="0.25">
      <c r="A45" s="8" t="e">
        <v>#N/A</v>
      </c>
      <c r="B45" s="9" t="s">
        <v>184</v>
      </c>
      <c r="C45" s="8"/>
      <c r="D45" s="8" t="s">
        <v>169</v>
      </c>
    </row>
    <row r="46" spans="1:4" x14ac:dyDescent="0.25">
      <c r="A46" s="8" t="s">
        <v>111</v>
      </c>
      <c r="B46" s="9" t="s">
        <v>111</v>
      </c>
      <c r="C46" s="8"/>
      <c r="D46" s="8" t="s">
        <v>169</v>
      </c>
    </row>
    <row r="47" spans="1:4" x14ac:dyDescent="0.25">
      <c r="A47" s="8" t="s">
        <v>91</v>
      </c>
      <c r="B47" s="9" t="s">
        <v>91</v>
      </c>
      <c r="C47" s="8"/>
      <c r="D47" s="8" t="s">
        <v>169</v>
      </c>
    </row>
    <row r="48" spans="1:4" x14ac:dyDescent="0.25">
      <c r="A48" s="8" t="e">
        <v>#N/A</v>
      </c>
      <c r="B48" s="9" t="s">
        <v>95</v>
      </c>
      <c r="C48" s="8"/>
      <c r="D48" s="8" t="s">
        <v>169</v>
      </c>
    </row>
    <row r="49" spans="1:4" x14ac:dyDescent="0.25">
      <c r="A49" s="8" t="s">
        <v>102</v>
      </c>
      <c r="B49" s="9" t="s">
        <v>185</v>
      </c>
      <c r="C49" s="8"/>
      <c r="D49" s="8" t="s">
        <v>169</v>
      </c>
    </row>
    <row r="50" spans="1:4" x14ac:dyDescent="0.25">
      <c r="A50" s="8" t="e">
        <v>#N/A</v>
      </c>
      <c r="B50" s="9" t="s">
        <v>186</v>
      </c>
      <c r="C50" s="8"/>
      <c r="D50" s="8" t="s">
        <v>169</v>
      </c>
    </row>
    <row r="51" spans="1:4" x14ac:dyDescent="0.25">
      <c r="A51" s="8" t="e">
        <v>#N/A</v>
      </c>
      <c r="B51" s="9" t="s">
        <v>187</v>
      </c>
      <c r="C51" s="8"/>
      <c r="D51" s="8" t="s">
        <v>169</v>
      </c>
    </row>
    <row r="52" spans="1:4" x14ac:dyDescent="0.25">
      <c r="A52" s="8" t="e">
        <v>#N/A</v>
      </c>
      <c r="B52" s="9" t="s">
        <v>188</v>
      </c>
      <c r="C52" s="8"/>
      <c r="D52" s="8" t="s">
        <v>169</v>
      </c>
    </row>
    <row r="53" spans="1:4" x14ac:dyDescent="0.25">
      <c r="A53" s="8" t="e">
        <v>#N/A</v>
      </c>
      <c r="B53" s="9" t="s">
        <v>189</v>
      </c>
      <c r="C53" s="8"/>
      <c r="D53" s="8" t="s">
        <v>169</v>
      </c>
    </row>
    <row r="54" spans="1:4" x14ac:dyDescent="0.25">
      <c r="A54" s="8" t="s">
        <v>112</v>
      </c>
      <c r="B54" s="9" t="s">
        <v>112</v>
      </c>
      <c r="C54" s="8"/>
      <c r="D54" s="8" t="s">
        <v>169</v>
      </c>
    </row>
    <row r="55" spans="1:4" x14ac:dyDescent="0.25">
      <c r="A55" s="8" t="s">
        <v>120</v>
      </c>
      <c r="B55" s="9" t="s">
        <v>190</v>
      </c>
      <c r="C55" s="8"/>
      <c r="D55" s="8" t="s">
        <v>169</v>
      </c>
    </row>
    <row r="56" spans="1:4" x14ac:dyDescent="0.25">
      <c r="A56" s="8" t="s">
        <v>118</v>
      </c>
      <c r="B56" s="9" t="s">
        <v>191</v>
      </c>
      <c r="C56" s="8"/>
      <c r="D56" s="8" t="s">
        <v>169</v>
      </c>
    </row>
    <row r="57" spans="1:4" x14ac:dyDescent="0.25">
      <c r="A57" s="8" t="e">
        <v>#N/A</v>
      </c>
      <c r="B57" s="9" t="s">
        <v>192</v>
      </c>
      <c r="C57" s="8"/>
      <c r="D57" s="8" t="s">
        <v>169</v>
      </c>
    </row>
    <row r="58" spans="1:4" x14ac:dyDescent="0.25">
      <c r="A58" s="8" t="e">
        <v>#N/A</v>
      </c>
      <c r="B58" s="9" t="s">
        <v>193</v>
      </c>
      <c r="C58" s="8"/>
      <c r="D58" s="8" t="s">
        <v>169</v>
      </c>
    </row>
    <row r="59" spans="1:4" x14ac:dyDescent="0.25">
      <c r="A59" s="8" t="e">
        <v>#N/A</v>
      </c>
      <c r="B59" s="9" t="s">
        <v>194</v>
      </c>
      <c r="C59" s="8"/>
      <c r="D59" s="8" t="s">
        <v>169</v>
      </c>
    </row>
    <row r="60" spans="1:4" x14ac:dyDescent="0.25">
      <c r="A60" s="8" t="e">
        <v>#N/A</v>
      </c>
      <c r="B60" s="9" t="s">
        <v>195</v>
      </c>
      <c r="C60" s="8"/>
      <c r="D60" s="8" t="s">
        <v>169</v>
      </c>
    </row>
    <row r="61" spans="1:4" x14ac:dyDescent="0.25">
      <c r="A61" s="8" t="s">
        <v>119</v>
      </c>
      <c r="B61" s="9" t="s">
        <v>196</v>
      </c>
      <c r="C61" s="8"/>
      <c r="D61" s="8" t="s">
        <v>169</v>
      </c>
    </row>
    <row r="62" spans="1:4" x14ac:dyDescent="0.25">
      <c r="A62" s="8" t="e">
        <v>#N/A</v>
      </c>
      <c r="B62" s="9" t="s">
        <v>197</v>
      </c>
      <c r="C62" s="8"/>
      <c r="D62" s="8" t="s">
        <v>169</v>
      </c>
    </row>
    <row r="63" spans="1:4" x14ac:dyDescent="0.25">
      <c r="A63" s="8" t="s">
        <v>121</v>
      </c>
      <c r="B63" s="9" t="s">
        <v>198</v>
      </c>
      <c r="C63" s="8"/>
      <c r="D63" s="8" t="s">
        <v>169</v>
      </c>
    </row>
    <row r="64" spans="1:4" x14ac:dyDescent="0.25">
      <c r="A64" s="8" t="e">
        <v>#N/A</v>
      </c>
      <c r="B64" s="9" t="s">
        <v>199</v>
      </c>
      <c r="C64" s="8"/>
      <c r="D64" s="8" t="s">
        <v>169</v>
      </c>
    </row>
    <row r="65" spans="1:4" x14ac:dyDescent="0.25">
      <c r="A65" s="8" t="e">
        <v>#N/A</v>
      </c>
      <c r="B65" s="9" t="s">
        <v>200</v>
      </c>
      <c r="C65" s="8"/>
      <c r="D65" s="8" t="s">
        <v>169</v>
      </c>
    </row>
    <row r="66" spans="1:4" ht="45" x14ac:dyDescent="0.25">
      <c r="A66" s="8" t="e">
        <v>#N/A</v>
      </c>
      <c r="B66" s="9" t="s">
        <v>201</v>
      </c>
      <c r="C66" s="8"/>
      <c r="D66" s="8" t="s">
        <v>169</v>
      </c>
    </row>
    <row r="67" spans="1:4" ht="45" x14ac:dyDescent="0.25">
      <c r="A67" s="8" t="e">
        <v>#N/A</v>
      </c>
      <c r="B67" s="9" t="s">
        <v>202</v>
      </c>
      <c r="C67" s="8"/>
      <c r="D67" s="8" t="s">
        <v>169</v>
      </c>
    </row>
    <row r="68" spans="1:4" ht="45" x14ac:dyDescent="0.25">
      <c r="A68" s="8" t="e">
        <v>#N/A</v>
      </c>
      <c r="B68" s="9" t="s">
        <v>203</v>
      </c>
      <c r="C68" s="8"/>
      <c r="D68" s="8" t="s">
        <v>169</v>
      </c>
    </row>
    <row r="69" spans="1:4" ht="45" x14ac:dyDescent="0.25">
      <c r="A69" s="8" t="e">
        <v>#N/A</v>
      </c>
      <c r="B69" s="9" t="s">
        <v>204</v>
      </c>
      <c r="C69" s="8"/>
      <c r="D69" s="8" t="s">
        <v>169</v>
      </c>
    </row>
    <row r="70" spans="1:4" ht="45" x14ac:dyDescent="0.25">
      <c r="A70" s="8" t="e">
        <v>#N/A</v>
      </c>
      <c r="B70" s="9" t="s">
        <v>205</v>
      </c>
      <c r="C70" s="8"/>
      <c r="D70" s="8" t="s">
        <v>169</v>
      </c>
    </row>
    <row r="71" spans="1:4" ht="45" x14ac:dyDescent="0.25">
      <c r="A71" s="8" t="e">
        <v>#N/A</v>
      </c>
      <c r="B71" s="9" t="s">
        <v>206</v>
      </c>
      <c r="C71" s="8"/>
      <c r="D71" s="8" t="s">
        <v>169</v>
      </c>
    </row>
    <row r="72" spans="1:4" ht="45" x14ac:dyDescent="0.25">
      <c r="A72" s="8" t="e">
        <v>#N/A</v>
      </c>
      <c r="B72" s="9" t="s">
        <v>207</v>
      </c>
      <c r="C72" s="8"/>
      <c r="D72" s="8" t="s">
        <v>169</v>
      </c>
    </row>
    <row r="73" spans="1:4" x14ac:dyDescent="0.25">
      <c r="A73" s="8" t="s">
        <v>136</v>
      </c>
      <c r="B73" s="9" t="s">
        <v>208</v>
      </c>
      <c r="C73" s="8"/>
      <c r="D73" s="8" t="s">
        <v>169</v>
      </c>
    </row>
    <row r="74" spans="1:4" x14ac:dyDescent="0.25">
      <c r="A74" s="8" t="e">
        <v>#N/A</v>
      </c>
      <c r="B74" s="9" t="s">
        <v>209</v>
      </c>
      <c r="C74" s="8"/>
      <c r="D74" s="8" t="s">
        <v>169</v>
      </c>
    </row>
    <row r="75" spans="1:4" x14ac:dyDescent="0.25">
      <c r="A75" s="8" t="s">
        <v>132</v>
      </c>
      <c r="B75" s="9" t="s">
        <v>210</v>
      </c>
      <c r="C75" s="8"/>
      <c r="D75" s="8" t="s">
        <v>169</v>
      </c>
    </row>
    <row r="76" spans="1:4" x14ac:dyDescent="0.25">
      <c r="A76" s="8" t="s">
        <v>135</v>
      </c>
      <c r="B76" s="9" t="s">
        <v>211</v>
      </c>
      <c r="C76" s="8"/>
      <c r="D76" s="8" t="s">
        <v>169</v>
      </c>
    </row>
    <row r="77" spans="1:4" x14ac:dyDescent="0.25">
      <c r="A77" s="8" t="e">
        <v>#N/A</v>
      </c>
      <c r="B77" s="9" t="s">
        <v>212</v>
      </c>
      <c r="C77" s="8"/>
      <c r="D77" s="8" t="s">
        <v>169</v>
      </c>
    </row>
    <row r="78" spans="1:4" x14ac:dyDescent="0.25">
      <c r="A78" s="8" t="s">
        <v>139</v>
      </c>
      <c r="B78" s="9" t="s">
        <v>213</v>
      </c>
      <c r="C78" s="8"/>
      <c r="D78" s="8" t="s">
        <v>169</v>
      </c>
    </row>
    <row r="79" spans="1:4" x14ac:dyDescent="0.25">
      <c r="A79" s="8" t="s">
        <v>133</v>
      </c>
      <c r="B79" s="9" t="s">
        <v>214</v>
      </c>
      <c r="C79" s="8"/>
      <c r="D79" s="8" t="s">
        <v>169</v>
      </c>
    </row>
    <row r="80" spans="1:4" x14ac:dyDescent="0.25">
      <c r="A80" s="8" t="s">
        <v>134</v>
      </c>
      <c r="B80" s="9" t="s">
        <v>215</v>
      </c>
      <c r="C80" s="8"/>
      <c r="D80" s="8" t="s">
        <v>169</v>
      </c>
    </row>
    <row r="81" spans="1:4" x14ac:dyDescent="0.25">
      <c r="A81" s="8" t="s">
        <v>137</v>
      </c>
      <c r="B81" s="9" t="s">
        <v>216</v>
      </c>
      <c r="C81" s="8"/>
      <c r="D81" s="8" t="s">
        <v>169</v>
      </c>
    </row>
    <row r="82" spans="1:4" x14ac:dyDescent="0.25">
      <c r="A82" s="8" t="s">
        <v>138</v>
      </c>
      <c r="B82" s="9" t="s">
        <v>217</v>
      </c>
      <c r="C82" s="8"/>
      <c r="D82" s="8" t="s">
        <v>169</v>
      </c>
    </row>
    <row r="83" spans="1:4" x14ac:dyDescent="0.25">
      <c r="A83" s="8" t="s">
        <v>144</v>
      </c>
      <c r="B83" s="9" t="s">
        <v>218</v>
      </c>
      <c r="C83" s="8"/>
      <c r="D83" s="8" t="s">
        <v>169</v>
      </c>
    </row>
    <row r="84" spans="1:4" x14ac:dyDescent="0.25">
      <c r="A84" s="8" t="s">
        <v>142</v>
      </c>
      <c r="B84" s="9" t="s">
        <v>219</v>
      </c>
      <c r="C84" s="8"/>
      <c r="D84" s="8" t="s">
        <v>169</v>
      </c>
    </row>
    <row r="85" spans="1:4" x14ac:dyDescent="0.25">
      <c r="A85" s="8" t="s">
        <v>145</v>
      </c>
      <c r="B85" s="9" t="s">
        <v>220</v>
      </c>
      <c r="C85" s="8"/>
      <c r="D85" s="8" t="s">
        <v>169</v>
      </c>
    </row>
    <row r="86" spans="1:4" x14ac:dyDescent="0.25">
      <c r="A86" s="8" t="s">
        <v>148</v>
      </c>
      <c r="B86" s="9" t="s">
        <v>221</v>
      </c>
      <c r="C86" s="8"/>
      <c r="D86" s="8" t="s">
        <v>169</v>
      </c>
    </row>
    <row r="87" spans="1:4" x14ac:dyDescent="0.25">
      <c r="A87" s="8" t="s">
        <v>143</v>
      </c>
      <c r="B87" s="9" t="s">
        <v>222</v>
      </c>
      <c r="C87" s="8"/>
      <c r="D87" s="8" t="s">
        <v>169</v>
      </c>
    </row>
    <row r="88" spans="1:4" x14ac:dyDescent="0.25">
      <c r="A88" s="8" t="s">
        <v>140</v>
      </c>
      <c r="B88" s="9" t="s">
        <v>223</v>
      </c>
      <c r="C88" s="8"/>
      <c r="D88" s="8" t="s">
        <v>169</v>
      </c>
    </row>
    <row r="89" spans="1:4" x14ac:dyDescent="0.25">
      <c r="A89" s="8" t="s">
        <v>146</v>
      </c>
      <c r="B89" s="9" t="s">
        <v>224</v>
      </c>
      <c r="C89" s="8"/>
      <c r="D89" s="8" t="s">
        <v>169</v>
      </c>
    </row>
    <row r="90" spans="1:4" x14ac:dyDescent="0.25">
      <c r="A90" s="8" t="e">
        <v>#N/A</v>
      </c>
      <c r="B90" s="9" t="s">
        <v>225</v>
      </c>
      <c r="C90" s="8"/>
      <c r="D90" s="8" t="s">
        <v>169</v>
      </c>
    </row>
    <row r="91" spans="1:4" x14ac:dyDescent="0.25">
      <c r="A91" s="8" t="e">
        <v>#N/A</v>
      </c>
      <c r="B91" s="9" t="s">
        <v>226</v>
      </c>
      <c r="C91" s="8"/>
      <c r="D91" s="8" t="s">
        <v>169</v>
      </c>
    </row>
    <row r="92" spans="1:4" x14ac:dyDescent="0.25">
      <c r="A92" s="8" t="s">
        <v>150</v>
      </c>
      <c r="B92" s="9" t="s">
        <v>227</v>
      </c>
      <c r="C92" s="8"/>
      <c r="D92" s="8" t="s">
        <v>169</v>
      </c>
    </row>
    <row r="93" spans="1:4" x14ac:dyDescent="0.25">
      <c r="A93" s="8" t="s">
        <v>147</v>
      </c>
      <c r="B93" s="9" t="s">
        <v>228</v>
      </c>
      <c r="C93" s="8"/>
      <c r="D93" s="8" t="s">
        <v>169</v>
      </c>
    </row>
    <row r="94" spans="1:4" x14ac:dyDescent="0.25">
      <c r="A94" s="8" t="e">
        <v>#N/A</v>
      </c>
      <c r="B94" s="9" t="s">
        <v>229</v>
      </c>
      <c r="C94" s="8"/>
      <c r="D94" s="8" t="s">
        <v>169</v>
      </c>
    </row>
    <row r="95" spans="1:4" x14ac:dyDescent="0.25">
      <c r="A95" s="8" t="s">
        <v>141</v>
      </c>
      <c r="B95" s="9" t="s">
        <v>230</v>
      </c>
      <c r="C95" s="8"/>
      <c r="D95" s="8" t="s">
        <v>169</v>
      </c>
    </row>
    <row r="96" spans="1:4" x14ac:dyDescent="0.25">
      <c r="A96" s="8" t="s">
        <v>156</v>
      </c>
      <c r="B96" s="9" t="s">
        <v>231</v>
      </c>
      <c r="C96" s="8"/>
      <c r="D96" s="8" t="s">
        <v>169</v>
      </c>
    </row>
    <row r="97" spans="1:4" x14ac:dyDescent="0.25">
      <c r="A97" s="8" t="s">
        <v>151</v>
      </c>
      <c r="B97" s="9" t="s">
        <v>151</v>
      </c>
      <c r="C97" s="8"/>
      <c r="D97" s="8" t="s">
        <v>169</v>
      </c>
    </row>
    <row r="98" spans="1:4" x14ac:dyDescent="0.25">
      <c r="A98" s="8" t="e">
        <v>#N/A</v>
      </c>
      <c r="B98" s="9" t="s">
        <v>232</v>
      </c>
      <c r="C98" s="8"/>
      <c r="D98" s="8" t="s">
        <v>169</v>
      </c>
    </row>
    <row r="99" spans="1:4" x14ac:dyDescent="0.25">
      <c r="A99" s="8" t="s">
        <v>94</v>
      </c>
      <c r="B99" s="9" t="s">
        <v>94</v>
      </c>
      <c r="C99" s="8"/>
      <c r="D99" s="8" t="s">
        <v>169</v>
      </c>
    </row>
    <row r="100" spans="1:4" x14ac:dyDescent="0.25">
      <c r="A100" s="8" t="s">
        <v>154</v>
      </c>
      <c r="B100" s="9" t="s">
        <v>233</v>
      </c>
      <c r="C100" s="8"/>
      <c r="D100" s="8" t="s">
        <v>169</v>
      </c>
    </row>
    <row r="101" spans="1:4" x14ac:dyDescent="0.25">
      <c r="A101" s="8" t="e">
        <v>#N/A</v>
      </c>
      <c r="B101" s="9" t="s">
        <v>234</v>
      </c>
      <c r="C101" s="8"/>
      <c r="D101" s="8" t="s">
        <v>169</v>
      </c>
    </row>
    <row r="102" spans="1:4" x14ac:dyDescent="0.25">
      <c r="A102" s="8" t="e">
        <v>#N/A</v>
      </c>
      <c r="B102" s="9" t="s">
        <v>235</v>
      </c>
      <c r="C102" s="8"/>
      <c r="D102" s="8" t="s">
        <v>169</v>
      </c>
    </row>
    <row r="103" spans="1:4" x14ac:dyDescent="0.25">
      <c r="A103" s="8" t="s">
        <v>152</v>
      </c>
      <c r="B103" s="9" t="s">
        <v>236</v>
      </c>
      <c r="C103" s="8"/>
      <c r="D103" s="8" t="s">
        <v>169</v>
      </c>
    </row>
    <row r="104" spans="1:4" x14ac:dyDescent="0.25">
      <c r="A104" s="8" t="s">
        <v>155</v>
      </c>
      <c r="B104" s="9" t="s">
        <v>237</v>
      </c>
      <c r="C104" s="8"/>
      <c r="D104" s="8" t="s">
        <v>169</v>
      </c>
    </row>
    <row r="105" spans="1:4" ht="45" x14ac:dyDescent="0.25">
      <c r="A105" s="8" t="e">
        <v>#N/A</v>
      </c>
      <c r="B105" s="9" t="s">
        <v>238</v>
      </c>
      <c r="C105" s="8"/>
      <c r="D105" s="8" t="s">
        <v>169</v>
      </c>
    </row>
    <row r="106" spans="1:4" x14ac:dyDescent="0.25">
      <c r="A106" s="8" t="e">
        <v>#N/A</v>
      </c>
      <c r="B106" s="9" t="s">
        <v>239</v>
      </c>
      <c r="C106" s="8"/>
      <c r="D106" s="8" t="s">
        <v>169</v>
      </c>
    </row>
    <row r="107" spans="1:4" x14ac:dyDescent="0.25">
      <c r="A107" s="8" t="e">
        <v>#N/A</v>
      </c>
      <c r="B107" s="9" t="s">
        <v>240</v>
      </c>
      <c r="C107" s="8"/>
      <c r="D107" s="8" t="s">
        <v>169</v>
      </c>
    </row>
    <row r="108" spans="1:4" x14ac:dyDescent="0.25">
      <c r="A108" s="8" t="e">
        <v>#N/A</v>
      </c>
      <c r="B108" s="9" t="s">
        <v>241</v>
      </c>
      <c r="C108" s="8"/>
      <c r="D108" s="8" t="s">
        <v>169</v>
      </c>
    </row>
    <row r="109" spans="1:4" x14ac:dyDescent="0.25">
      <c r="A109" s="8" t="e">
        <v>#N/A</v>
      </c>
      <c r="B109" s="9" t="s">
        <v>242</v>
      </c>
      <c r="C109" s="8"/>
      <c r="D109" s="8" t="s">
        <v>169</v>
      </c>
    </row>
    <row r="110" spans="1:4" x14ac:dyDescent="0.25">
      <c r="A110" s="8" t="e">
        <v>#N/A</v>
      </c>
      <c r="B110" s="9" t="s">
        <v>243</v>
      </c>
      <c r="C110" s="8"/>
      <c r="D110" s="8" t="s">
        <v>169</v>
      </c>
    </row>
    <row r="111" spans="1:4" x14ac:dyDescent="0.25">
      <c r="A111" s="8" t="e">
        <v>#N/A</v>
      </c>
      <c r="B111" s="9" t="s">
        <v>244</v>
      </c>
      <c r="C111" s="8"/>
      <c r="D111" s="8" t="s">
        <v>169</v>
      </c>
    </row>
    <row r="112" spans="1:4" x14ac:dyDescent="0.25">
      <c r="A112" s="8" t="e">
        <v>#N/A</v>
      </c>
      <c r="B112" s="9" t="s">
        <v>245</v>
      </c>
      <c r="C112" s="8"/>
      <c r="D112" s="8" t="s">
        <v>169</v>
      </c>
    </row>
    <row r="113" spans="1:4" x14ac:dyDescent="0.25">
      <c r="A113" s="8" t="e">
        <v>#N/A</v>
      </c>
      <c r="B113" s="9" t="s">
        <v>246</v>
      </c>
      <c r="C113" s="8"/>
      <c r="D113" s="8" t="s">
        <v>169</v>
      </c>
    </row>
    <row r="114" spans="1:4" x14ac:dyDescent="0.25">
      <c r="A114" s="8" t="e">
        <v>#N/A</v>
      </c>
      <c r="B114" s="9" t="s">
        <v>247</v>
      </c>
      <c r="C114" s="8"/>
      <c r="D114" s="8" t="s">
        <v>169</v>
      </c>
    </row>
    <row r="115" spans="1:4" x14ac:dyDescent="0.25">
      <c r="A115" s="8" t="e">
        <v>#N/A</v>
      </c>
      <c r="B115" s="9" t="s">
        <v>248</v>
      </c>
      <c r="C115" s="8"/>
      <c r="D115" s="8" t="s">
        <v>169</v>
      </c>
    </row>
    <row r="116" spans="1:4" x14ac:dyDescent="0.25">
      <c r="A116" s="8" t="s">
        <v>158</v>
      </c>
      <c r="B116" s="9" t="s">
        <v>249</v>
      </c>
      <c r="C116" s="8"/>
      <c r="D116" s="8" t="s">
        <v>169</v>
      </c>
    </row>
    <row r="117" spans="1:4" x14ac:dyDescent="0.25">
      <c r="A117" s="8" t="s">
        <v>157</v>
      </c>
      <c r="B117" s="9" t="s">
        <v>250</v>
      </c>
      <c r="C117" s="8"/>
      <c r="D117" s="8" t="s">
        <v>169</v>
      </c>
    </row>
    <row r="118" spans="1:4" x14ac:dyDescent="0.25">
      <c r="A118" s="8" t="e">
        <v>#N/A</v>
      </c>
      <c r="B118" s="9" t="s">
        <v>251</v>
      </c>
      <c r="C118" s="8"/>
      <c r="D118" s="8" t="s">
        <v>169</v>
      </c>
    </row>
    <row r="119" spans="1:4" x14ac:dyDescent="0.25">
      <c r="A119" s="8" t="e">
        <v>#N/A</v>
      </c>
      <c r="B119" s="9" t="s">
        <v>252</v>
      </c>
      <c r="C119" s="8"/>
      <c r="D119" s="8" t="s">
        <v>169</v>
      </c>
    </row>
    <row r="120" spans="1:4" x14ac:dyDescent="0.25">
      <c r="A120" s="8" t="e">
        <v>#N/A</v>
      </c>
      <c r="B120" s="9" t="s">
        <v>251</v>
      </c>
      <c r="C120" s="8"/>
      <c r="D120" s="8" t="s">
        <v>169</v>
      </c>
    </row>
    <row r="121" spans="1:4" x14ac:dyDescent="0.25">
      <c r="A121" s="8" t="e">
        <v>#N/A</v>
      </c>
      <c r="B121" s="9" t="s">
        <v>252</v>
      </c>
      <c r="C121" s="8"/>
      <c r="D121" s="8" t="s">
        <v>169</v>
      </c>
    </row>
    <row r="122" spans="1:4" x14ac:dyDescent="0.25">
      <c r="A122" s="8" t="e">
        <v>#N/A</v>
      </c>
      <c r="B122" s="9" t="s">
        <v>251</v>
      </c>
      <c r="C122" s="8"/>
      <c r="D122" s="8" t="s">
        <v>169</v>
      </c>
    </row>
    <row r="123" spans="1:4" x14ac:dyDescent="0.25">
      <c r="A123" s="8" t="e">
        <v>#N/A</v>
      </c>
      <c r="B123" s="9" t="s">
        <v>252</v>
      </c>
      <c r="C123" s="8"/>
      <c r="D123" s="8" t="s">
        <v>169</v>
      </c>
    </row>
    <row r="124" spans="1:4" x14ac:dyDescent="0.25">
      <c r="A124" s="8" t="e">
        <v>#N/A</v>
      </c>
      <c r="B124" s="9" t="s">
        <v>251</v>
      </c>
      <c r="C124" s="8"/>
      <c r="D124" s="8" t="s">
        <v>169</v>
      </c>
    </row>
    <row r="125" spans="1:4" x14ac:dyDescent="0.25">
      <c r="A125" s="8" t="e">
        <v>#N/A</v>
      </c>
      <c r="B125" s="9" t="s">
        <v>252</v>
      </c>
      <c r="C125" s="8"/>
      <c r="D125" s="8" t="s">
        <v>169</v>
      </c>
    </row>
    <row r="126" spans="1:4" x14ac:dyDescent="0.25">
      <c r="A126" s="8" t="e">
        <v>#N/A</v>
      </c>
      <c r="B126" s="9" t="s">
        <v>251</v>
      </c>
      <c r="C126" s="8"/>
      <c r="D126" s="8" t="s">
        <v>169</v>
      </c>
    </row>
    <row r="127" spans="1:4" x14ac:dyDescent="0.25">
      <c r="A127" s="8" t="e">
        <v>#N/A</v>
      </c>
      <c r="B127" s="9" t="s">
        <v>252</v>
      </c>
      <c r="C127" s="8"/>
      <c r="D127" s="8" t="s">
        <v>169</v>
      </c>
    </row>
    <row r="128" spans="1:4" x14ac:dyDescent="0.25">
      <c r="A128" s="8" t="e">
        <v>#N/A</v>
      </c>
      <c r="B128" s="9" t="s">
        <v>253</v>
      </c>
      <c r="C128" s="8"/>
      <c r="D128" s="8" t="s">
        <v>169</v>
      </c>
    </row>
    <row r="129" spans="1:4" x14ac:dyDescent="0.25">
      <c r="A129" s="8" t="e">
        <v>#N/A</v>
      </c>
      <c r="B129" s="9" t="s">
        <v>197</v>
      </c>
      <c r="C129" s="8"/>
      <c r="D129" s="8" t="s">
        <v>169</v>
      </c>
    </row>
    <row r="130" spans="1:4" x14ac:dyDescent="0.25">
      <c r="A130" s="8" t="e">
        <v>#N/A</v>
      </c>
      <c r="B130" s="9" t="s">
        <v>254</v>
      </c>
      <c r="C130" s="8"/>
      <c r="D130" s="8" t="s">
        <v>174</v>
      </c>
    </row>
    <row r="131" spans="1:4" x14ac:dyDescent="0.25">
      <c r="A131" s="8" t="e">
        <v>#N/A</v>
      </c>
      <c r="B131" s="9" t="s">
        <v>255</v>
      </c>
      <c r="C131" s="8"/>
      <c r="D131" s="8" t="s">
        <v>169</v>
      </c>
    </row>
    <row r="132" spans="1:4" x14ac:dyDescent="0.25">
      <c r="A132" s="8" t="e">
        <v>#N/A</v>
      </c>
      <c r="B132" s="9" t="s">
        <v>256</v>
      </c>
      <c r="C132" s="8" t="s">
        <v>257</v>
      </c>
      <c r="D132" s="8" t="s">
        <v>169</v>
      </c>
    </row>
    <row r="133" spans="1:4" x14ac:dyDescent="0.25">
      <c r="A133" s="8" t="e">
        <v>#N/A</v>
      </c>
      <c r="B133" s="9" t="s">
        <v>258</v>
      </c>
      <c r="C133" s="8"/>
      <c r="D133" s="8" t="s">
        <v>169</v>
      </c>
    </row>
    <row r="134" spans="1:4" x14ac:dyDescent="0.25">
      <c r="A134" s="8" t="s">
        <v>161</v>
      </c>
      <c r="B134" s="9" t="s">
        <v>259</v>
      </c>
      <c r="C134" s="8"/>
      <c r="D134" s="8" t="s">
        <v>169</v>
      </c>
    </row>
    <row r="135" spans="1:4" x14ac:dyDescent="0.25">
      <c r="A135" s="8" t="e">
        <v>#N/A</v>
      </c>
      <c r="B135" s="9" t="s">
        <v>260</v>
      </c>
      <c r="C135" s="8"/>
      <c r="D135" s="8" t="s">
        <v>169</v>
      </c>
    </row>
    <row r="136" spans="1:4" x14ac:dyDescent="0.25">
      <c r="A136" s="8" t="e">
        <v>#N/A</v>
      </c>
      <c r="B136" s="9" t="s">
        <v>261</v>
      </c>
      <c r="C136" s="8"/>
      <c r="D136" s="8" t="s">
        <v>169</v>
      </c>
    </row>
    <row r="137" spans="1:4" x14ac:dyDescent="0.25">
      <c r="A137" s="8" t="e">
        <v>#N/A</v>
      </c>
      <c r="B137" s="9" t="s">
        <v>262</v>
      </c>
      <c r="C137" s="8"/>
      <c r="D137" s="8" t="s">
        <v>169</v>
      </c>
    </row>
    <row r="138" spans="1:4" x14ac:dyDescent="0.25">
      <c r="A138" s="8" t="e">
        <v>#N/A</v>
      </c>
      <c r="B138" s="9" t="s">
        <v>263</v>
      </c>
      <c r="C138" s="8"/>
      <c r="D138" s="8" t="s">
        <v>169</v>
      </c>
    </row>
    <row r="139" spans="1:4" x14ac:dyDescent="0.25">
      <c r="A139" s="8" t="e">
        <v>#N/A</v>
      </c>
      <c r="B139" s="9" t="s">
        <v>264</v>
      </c>
      <c r="C139" s="8"/>
      <c r="D139" s="8" t="s">
        <v>169</v>
      </c>
    </row>
    <row r="140" spans="1:4" x14ac:dyDescent="0.25">
      <c r="A140" s="8" t="e">
        <v>#N/A</v>
      </c>
      <c r="B140" s="9" t="s">
        <v>265</v>
      </c>
      <c r="C140" s="8"/>
      <c r="D140" s="8" t="s">
        <v>169</v>
      </c>
    </row>
    <row r="141" spans="1:4" x14ac:dyDescent="0.25">
      <c r="A141" s="8" t="e">
        <v>#N/A</v>
      </c>
      <c r="B141" s="9" t="s">
        <v>266</v>
      </c>
      <c r="C141" s="8"/>
      <c r="D141" s="8" t="s">
        <v>169</v>
      </c>
    </row>
    <row r="142" spans="1:4" x14ac:dyDescent="0.25">
      <c r="A142" s="8" t="e">
        <v>#N/A</v>
      </c>
      <c r="B142" s="9" t="s">
        <v>267</v>
      </c>
      <c r="C142" s="8"/>
      <c r="D142" s="8" t="s">
        <v>169</v>
      </c>
    </row>
    <row r="143" spans="1:4" x14ac:dyDescent="0.25">
      <c r="A143" s="8" t="e">
        <v>#N/A</v>
      </c>
      <c r="B143" s="9" t="s">
        <v>268</v>
      </c>
      <c r="C143" s="8"/>
      <c r="D143" s="8" t="s">
        <v>169</v>
      </c>
    </row>
    <row r="144" spans="1:4" x14ac:dyDescent="0.25">
      <c r="A144" s="8" t="e">
        <v>#N/A</v>
      </c>
      <c r="B144" s="9" t="s">
        <v>269</v>
      </c>
      <c r="C144" s="8"/>
      <c r="D144" s="8" t="s">
        <v>169</v>
      </c>
    </row>
    <row r="145" spans="1:4" x14ac:dyDescent="0.25">
      <c r="A145" s="8" t="e">
        <v>#N/A</v>
      </c>
      <c r="B145" s="9" t="s">
        <v>270</v>
      </c>
      <c r="C145" s="8"/>
      <c r="D145" s="8" t="s">
        <v>169</v>
      </c>
    </row>
    <row r="146" spans="1:4" x14ac:dyDescent="0.25">
      <c r="A146" s="8" t="e">
        <v>#N/A</v>
      </c>
      <c r="B146" s="9" t="s">
        <v>168</v>
      </c>
      <c r="C146" s="8"/>
      <c r="D146" s="8" t="s">
        <v>169</v>
      </c>
    </row>
    <row r="147" spans="1:4" x14ac:dyDescent="0.25">
      <c r="A147" s="8" t="e">
        <v>#N/A</v>
      </c>
      <c r="B147" s="9" t="s">
        <v>271</v>
      </c>
      <c r="C147" s="8"/>
      <c r="D147" s="8" t="s">
        <v>174</v>
      </c>
    </row>
    <row r="148" spans="1:4" x14ac:dyDescent="0.25">
      <c r="A148" s="8" t="e">
        <v>#N/A</v>
      </c>
      <c r="B148" s="9" t="s">
        <v>272</v>
      </c>
      <c r="C148" s="8" t="s">
        <v>273</v>
      </c>
      <c r="D148" s="8" t="s">
        <v>169</v>
      </c>
    </row>
    <row r="149" spans="1:4" x14ac:dyDescent="0.25">
      <c r="A149" s="8" t="e">
        <v>#N/A</v>
      </c>
      <c r="B149" s="9" t="s">
        <v>274</v>
      </c>
      <c r="C149" s="8" t="s">
        <v>273</v>
      </c>
      <c r="D149" s="8" t="s">
        <v>169</v>
      </c>
    </row>
    <row r="150" spans="1:4" x14ac:dyDescent="0.25">
      <c r="A150" s="8" t="e">
        <v>#N/A</v>
      </c>
      <c r="B150" s="9" t="s">
        <v>275</v>
      </c>
      <c r="C150" s="8" t="s">
        <v>273</v>
      </c>
      <c r="D150" s="8" t="s">
        <v>169</v>
      </c>
    </row>
    <row r="151" spans="1:4" x14ac:dyDescent="0.25">
      <c r="A151" s="8" t="e">
        <v>#N/A</v>
      </c>
      <c r="B151" s="9" t="s">
        <v>276</v>
      </c>
      <c r="C151" s="8" t="s">
        <v>273</v>
      </c>
      <c r="D151" s="8" t="s">
        <v>169</v>
      </c>
    </row>
    <row r="152" spans="1:4" x14ac:dyDescent="0.25">
      <c r="A152" s="8" t="e">
        <v>#N/A</v>
      </c>
      <c r="B152" s="9" t="s">
        <v>277</v>
      </c>
      <c r="C152" s="8" t="s">
        <v>273</v>
      </c>
      <c r="D152" s="8" t="s">
        <v>169</v>
      </c>
    </row>
    <row r="153" spans="1:4" x14ac:dyDescent="0.25">
      <c r="A153" s="8" t="e">
        <v>#N/A</v>
      </c>
      <c r="B153" s="9" t="s">
        <v>278</v>
      </c>
      <c r="C153" s="8" t="s">
        <v>273</v>
      </c>
      <c r="D153" s="8" t="s">
        <v>169</v>
      </c>
    </row>
    <row r="154" spans="1:4" x14ac:dyDescent="0.25">
      <c r="A154" s="8" t="e">
        <v>#N/A</v>
      </c>
      <c r="B154" s="9" t="s">
        <v>279</v>
      </c>
      <c r="C154" s="8" t="s">
        <v>273</v>
      </c>
      <c r="D154" s="8" t="s">
        <v>169</v>
      </c>
    </row>
    <row r="155" spans="1:4" x14ac:dyDescent="0.25">
      <c r="A155" s="8" t="e">
        <v>#N/A</v>
      </c>
      <c r="B155" s="9" t="s">
        <v>280</v>
      </c>
      <c r="C155" s="8" t="s">
        <v>273</v>
      </c>
      <c r="D155" s="8" t="s">
        <v>169</v>
      </c>
    </row>
    <row r="156" spans="1:4" x14ac:dyDescent="0.25">
      <c r="A156" s="8" t="e">
        <v>#N/A</v>
      </c>
      <c r="B156" s="9" t="s">
        <v>281</v>
      </c>
      <c r="C156" s="8" t="s">
        <v>273</v>
      </c>
      <c r="D156" s="8" t="s">
        <v>169</v>
      </c>
    </row>
    <row r="157" spans="1:4" x14ac:dyDescent="0.25">
      <c r="A157" s="8" t="e">
        <v>#N/A</v>
      </c>
      <c r="B157" s="9" t="s">
        <v>282</v>
      </c>
      <c r="C157" s="8"/>
      <c r="D157" s="8" t="s">
        <v>169</v>
      </c>
    </row>
    <row r="158" spans="1:4" x14ac:dyDescent="0.25">
      <c r="A158" s="8" t="e">
        <v>#N/A</v>
      </c>
      <c r="B158" s="9" t="s">
        <v>283</v>
      </c>
      <c r="C158" s="8"/>
      <c r="D158" s="8" t="s">
        <v>169</v>
      </c>
    </row>
    <row r="159" spans="1:4" x14ac:dyDescent="0.25">
      <c r="A159" s="8" t="e">
        <v>#N/A</v>
      </c>
      <c r="B159" s="9" t="s">
        <v>284</v>
      </c>
      <c r="C159" s="8"/>
      <c r="D159" s="8" t="s">
        <v>169</v>
      </c>
    </row>
    <row r="160" spans="1:4" x14ac:dyDescent="0.25">
      <c r="A160" s="8" t="e">
        <v>#N/A</v>
      </c>
      <c r="B160" s="9" t="s">
        <v>285</v>
      </c>
      <c r="C160" s="8"/>
      <c r="D160" s="8" t="s">
        <v>169</v>
      </c>
    </row>
    <row r="161" spans="1:4" x14ac:dyDescent="0.25">
      <c r="A161" s="8" t="e">
        <v>#N/A</v>
      </c>
      <c r="B161" s="9" t="s">
        <v>286</v>
      </c>
      <c r="C161" s="8"/>
      <c r="D161" s="8" t="s">
        <v>169</v>
      </c>
    </row>
    <row r="162" spans="1:4" x14ac:dyDescent="0.25">
      <c r="A162" s="8" t="e">
        <v>#N/A</v>
      </c>
      <c r="B162" s="9" t="s">
        <v>287</v>
      </c>
      <c r="C162" s="8"/>
      <c r="D162" s="8" t="s">
        <v>169</v>
      </c>
    </row>
    <row r="163" spans="1:4" x14ac:dyDescent="0.25">
      <c r="A163" s="37" t="e">
        <v>#N/A</v>
      </c>
      <c r="B163" s="41" t="s">
        <v>288</v>
      </c>
      <c r="C163" s="37"/>
      <c r="D163" s="37" t="s">
        <v>169</v>
      </c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CaptionSourcesDE">
    <tabColor theme="3"/>
  </sheetPr>
  <dimension ref="A1:D18"/>
  <sheetViews>
    <sheetView workbookViewId="0">
      <selection activeCell="B12" sqref="B12"/>
    </sheetView>
  </sheetViews>
  <sheetFormatPr defaultColWidth="9.140625" defaultRowHeight="15" x14ac:dyDescent="0.25"/>
  <cols>
    <col min="1" max="1" width="41" bestFit="1" customWidth="1"/>
    <col min="2" max="2" width="70.140625" style="42" customWidth="1"/>
    <col min="3" max="3" width="41.140625" style="2" bestFit="1" customWidth="1"/>
    <col min="4" max="5" width="16.140625" style="2" bestFit="1" customWidth="1"/>
    <col min="6" max="16384" width="9.140625" style="2"/>
  </cols>
  <sheetData>
    <row r="1" spans="1:4" ht="15.75" x14ac:dyDescent="0.25">
      <c r="A1" s="36" t="s">
        <v>350</v>
      </c>
      <c r="B1" s="39" t="s">
        <v>291</v>
      </c>
      <c r="C1" s="36" t="s">
        <v>290</v>
      </c>
      <c r="D1" s="36" t="s">
        <v>167</v>
      </c>
    </row>
    <row r="2" spans="1:4" x14ac:dyDescent="0.25">
      <c r="A2" s="7" t="s">
        <v>1918</v>
      </c>
      <c r="B2" s="40" t="s">
        <v>297</v>
      </c>
      <c r="C2" s="7"/>
      <c r="D2" s="7" t="s">
        <v>289</v>
      </c>
    </row>
    <row r="3" spans="1:4" ht="45" x14ac:dyDescent="0.25">
      <c r="A3" s="8" t="s">
        <v>1919</v>
      </c>
      <c r="B3" s="9" t="s">
        <v>299</v>
      </c>
      <c r="C3" s="8"/>
      <c r="D3" s="8" t="s">
        <v>169</v>
      </c>
    </row>
    <row r="4" spans="1:4" x14ac:dyDescent="0.25">
      <c r="A4" s="8" t="s">
        <v>1920</v>
      </c>
      <c r="B4" s="9" t="s">
        <v>300</v>
      </c>
      <c r="C4" s="8" t="s">
        <v>302</v>
      </c>
      <c r="D4" s="8" t="s">
        <v>293</v>
      </c>
    </row>
    <row r="5" spans="1:4" x14ac:dyDescent="0.25">
      <c r="A5" s="8" t="s">
        <v>1921</v>
      </c>
      <c r="B5" s="9" t="s">
        <v>301</v>
      </c>
      <c r="C5" s="8" t="s">
        <v>303</v>
      </c>
      <c r="D5" s="8" t="s">
        <v>293</v>
      </c>
    </row>
    <row r="6" spans="1:4" x14ac:dyDescent="0.25">
      <c r="A6" s="37" t="s">
        <v>1922</v>
      </c>
      <c r="B6" s="41" t="s">
        <v>1925</v>
      </c>
      <c r="C6" s="37" t="s">
        <v>1926</v>
      </c>
      <c r="D6" s="37" t="s">
        <v>293</v>
      </c>
    </row>
    <row r="7" spans="1:4" x14ac:dyDescent="0.25">
      <c r="A7" s="8" t="s">
        <v>1927</v>
      </c>
      <c r="B7" s="9" t="s">
        <v>353</v>
      </c>
      <c r="C7" s="8"/>
      <c r="D7" s="8" t="s">
        <v>289</v>
      </c>
    </row>
    <row r="8" spans="1:4" ht="30" x14ac:dyDescent="0.25">
      <c r="A8" s="8" t="s">
        <v>1928</v>
      </c>
      <c r="B8" s="9" t="s">
        <v>363</v>
      </c>
      <c r="C8" s="8"/>
      <c r="D8" s="8" t="s">
        <v>169</v>
      </c>
    </row>
    <row r="9" spans="1:4" x14ac:dyDescent="0.25">
      <c r="A9" s="8" t="s">
        <v>1929</v>
      </c>
      <c r="B9" s="9" t="s">
        <v>362</v>
      </c>
      <c r="C9" s="8"/>
      <c r="D9" s="8" t="s">
        <v>355</v>
      </c>
    </row>
    <row r="10" spans="1:4" x14ac:dyDescent="0.25">
      <c r="A10" s="8" t="s">
        <v>1930</v>
      </c>
      <c r="B10" s="9" t="s">
        <v>364</v>
      </c>
      <c r="C10" s="8"/>
      <c r="D10" s="8" t="s">
        <v>355</v>
      </c>
    </row>
    <row r="11" spans="1:4" x14ac:dyDescent="0.25">
      <c r="A11" s="8" t="s">
        <v>1931</v>
      </c>
      <c r="B11" s="9" t="s">
        <v>365</v>
      </c>
      <c r="C11" s="8"/>
      <c r="D11" s="8" t="s">
        <v>355</v>
      </c>
    </row>
    <row r="12" spans="1:4" x14ac:dyDescent="0.25">
      <c r="A12" s="8" t="s">
        <v>1932</v>
      </c>
      <c r="B12" s="9" t="s">
        <v>1946</v>
      </c>
      <c r="C12" s="8"/>
      <c r="D12" s="8" t="s">
        <v>355</v>
      </c>
    </row>
    <row r="13" spans="1:4" x14ac:dyDescent="0.25">
      <c r="A13" s="8" t="s">
        <v>1950</v>
      </c>
      <c r="B13" s="9" t="s">
        <v>1943</v>
      </c>
      <c r="C13" s="8"/>
      <c r="D13" s="8" t="s">
        <v>356</v>
      </c>
    </row>
    <row r="14" spans="1:4" x14ac:dyDescent="0.25">
      <c r="A14" s="8" t="s">
        <v>1951</v>
      </c>
      <c r="B14" s="9" t="s">
        <v>1941</v>
      </c>
      <c r="C14" s="8"/>
      <c r="D14" s="8" t="s">
        <v>356</v>
      </c>
    </row>
    <row r="15" spans="1:4" x14ac:dyDescent="0.25">
      <c r="A15" s="8" t="s">
        <v>1933</v>
      </c>
      <c r="B15" s="9" t="s">
        <v>366</v>
      </c>
      <c r="C15" s="8"/>
      <c r="D15" s="8" t="s">
        <v>355</v>
      </c>
    </row>
    <row r="16" spans="1:4" x14ac:dyDescent="0.25">
      <c r="A16" s="8" t="s">
        <v>1934</v>
      </c>
      <c r="B16" s="9" t="s">
        <v>1936</v>
      </c>
      <c r="C16" s="8"/>
      <c r="D16" s="8" t="s">
        <v>355</v>
      </c>
    </row>
    <row r="17" spans="1:4" x14ac:dyDescent="0.25">
      <c r="A17" s="8" t="s">
        <v>1937</v>
      </c>
      <c r="B17" s="9" t="s">
        <v>1938</v>
      </c>
      <c r="C17" s="8" t="s">
        <v>1945</v>
      </c>
      <c r="D17" s="37" t="s">
        <v>293</v>
      </c>
    </row>
    <row r="18" spans="1:4" x14ac:dyDescent="0.25">
      <c r="A18" s="8" t="s">
        <v>361</v>
      </c>
      <c r="B18" s="9" t="s">
        <v>1939</v>
      </c>
      <c r="C18" s="8" t="s">
        <v>1925</v>
      </c>
      <c r="D18" s="37" t="s">
        <v>293</v>
      </c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RowSourcesEN">
    <tabColor theme="3" tint="0.39997558519241921"/>
  </sheetPr>
  <dimension ref="A1:X245"/>
  <sheetViews>
    <sheetView zoomScaleNormal="100" workbookViewId="0">
      <selection activeCell="A2" sqref="A2:A4"/>
    </sheetView>
  </sheetViews>
  <sheetFormatPr defaultColWidth="9.140625" defaultRowHeight="15" x14ac:dyDescent="0.25"/>
  <cols>
    <col min="1" max="1" width="28.42578125" bestFit="1" customWidth="1"/>
    <col min="2" max="2" width="32.140625" bestFit="1" customWidth="1"/>
    <col min="3" max="3" width="20.140625" bestFit="1" customWidth="1"/>
    <col min="4" max="4" width="20.5703125" bestFit="1" customWidth="1"/>
    <col min="5" max="7" width="20.5703125" customWidth="1"/>
    <col min="8" max="8" width="17.140625" customWidth="1"/>
    <col min="9" max="9" width="21" bestFit="1" customWidth="1"/>
    <col min="10" max="10" width="19.5703125" bestFit="1" customWidth="1"/>
    <col min="11" max="11" width="15" bestFit="1" customWidth="1"/>
    <col min="12" max="12" width="26" bestFit="1" customWidth="1"/>
    <col min="13" max="13" width="22.42578125" bestFit="1" customWidth="1"/>
    <col min="14" max="14" width="25.5703125" bestFit="1" customWidth="1"/>
    <col min="15" max="15" width="24.85546875" bestFit="1" customWidth="1"/>
    <col min="16" max="16" width="29.140625" bestFit="1" customWidth="1"/>
    <col min="17" max="17" width="20.5703125" bestFit="1" customWidth="1"/>
    <col min="18" max="18" width="37.5703125" bestFit="1" customWidth="1"/>
    <col min="19" max="19" width="48" bestFit="1" customWidth="1"/>
    <col min="20" max="20" width="55" bestFit="1" customWidth="1"/>
    <col min="21" max="21" width="32.7109375" bestFit="1" customWidth="1"/>
    <col min="22" max="22" width="23.7109375" bestFit="1" customWidth="1"/>
    <col min="23" max="23" width="14" customWidth="1"/>
    <col min="24" max="24" width="22.85546875" bestFit="1" customWidth="1"/>
  </cols>
  <sheetData>
    <row r="1" spans="1:24" s="43" customFormat="1" x14ac:dyDescent="0.25">
      <c r="A1" s="48" t="s">
        <v>1879</v>
      </c>
      <c r="B1" s="48" t="s">
        <v>98</v>
      </c>
      <c r="C1" s="48" t="s">
        <v>1883</v>
      </c>
      <c r="D1" s="48" t="s">
        <v>1952</v>
      </c>
      <c r="E1" s="48" t="s">
        <v>1953</v>
      </c>
      <c r="F1" s="48" t="s">
        <v>1954</v>
      </c>
      <c r="G1" s="48" t="s">
        <v>1955</v>
      </c>
      <c r="H1" s="48" t="s">
        <v>140</v>
      </c>
      <c r="I1" s="48" t="s">
        <v>109</v>
      </c>
      <c r="J1" s="48" t="s">
        <v>1884</v>
      </c>
      <c r="K1" s="48" t="s">
        <v>110</v>
      </c>
      <c r="L1" s="48" t="s">
        <v>130</v>
      </c>
      <c r="M1" s="48" t="s">
        <v>1885</v>
      </c>
      <c r="N1" s="48" t="s">
        <v>135</v>
      </c>
      <c r="O1" s="48" t="s">
        <v>1886</v>
      </c>
      <c r="P1" s="48" t="s">
        <v>1887</v>
      </c>
      <c r="Q1" s="48" t="s">
        <v>216</v>
      </c>
      <c r="R1" s="48" t="s">
        <v>1888</v>
      </c>
      <c r="S1" s="48" t="s">
        <v>1889</v>
      </c>
      <c r="T1" s="48" t="s">
        <v>152</v>
      </c>
      <c r="U1" s="48" t="s">
        <v>94</v>
      </c>
      <c r="V1" s="48" t="s">
        <v>1890</v>
      </c>
      <c r="W1" s="48" t="s">
        <v>1891</v>
      </c>
      <c r="X1" s="48" t="s">
        <v>1892</v>
      </c>
    </row>
    <row r="2" spans="1:24" x14ac:dyDescent="0.25">
      <c r="A2" s="49" t="s">
        <v>1905</v>
      </c>
      <c r="B2" s="49" t="s">
        <v>23</v>
      </c>
      <c r="C2" s="49" t="s">
        <v>39</v>
      </c>
      <c r="D2" s="49" t="s">
        <v>40</v>
      </c>
      <c r="E2" s="49" t="s">
        <v>1880</v>
      </c>
      <c r="F2" s="49" t="s">
        <v>1880</v>
      </c>
      <c r="G2" s="49" t="s">
        <v>1880</v>
      </c>
      <c r="H2" s="49" t="s">
        <v>1094</v>
      </c>
      <c r="I2" s="49" t="s">
        <v>369</v>
      </c>
      <c r="J2" s="49" t="s">
        <v>371</v>
      </c>
      <c r="K2" s="49" t="s">
        <v>372</v>
      </c>
      <c r="L2" s="49" t="s">
        <v>373</v>
      </c>
      <c r="M2" s="49" t="s">
        <v>97</v>
      </c>
      <c r="N2" s="49" t="s">
        <v>374</v>
      </c>
      <c r="O2" s="49" t="s">
        <v>6</v>
      </c>
      <c r="P2" s="49" t="s">
        <v>375</v>
      </c>
      <c r="Q2" s="49" t="s">
        <v>377</v>
      </c>
      <c r="R2" s="49" t="s">
        <v>379</v>
      </c>
      <c r="S2" s="49" t="s">
        <v>381</v>
      </c>
      <c r="T2" s="49" t="s">
        <v>383</v>
      </c>
      <c r="U2" s="49" t="s">
        <v>385</v>
      </c>
      <c r="V2" s="49" t="s">
        <v>76</v>
      </c>
      <c r="W2" s="49" t="s">
        <v>387</v>
      </c>
      <c r="X2" s="49" t="s">
        <v>85</v>
      </c>
    </row>
    <row r="3" spans="1:24" x14ac:dyDescent="0.25">
      <c r="A3" s="46" t="s">
        <v>1906</v>
      </c>
      <c r="B3" s="46" t="s">
        <v>38</v>
      </c>
      <c r="C3" s="46" t="s">
        <v>1867</v>
      </c>
      <c r="D3" s="50"/>
      <c r="E3" s="46"/>
      <c r="F3" s="46" t="s">
        <v>1882</v>
      </c>
      <c r="G3" s="46" t="s">
        <v>1881</v>
      </c>
      <c r="H3" s="46" t="s">
        <v>1106</v>
      </c>
      <c r="I3" s="46" t="s">
        <v>390</v>
      </c>
      <c r="J3" s="46" t="s">
        <v>25</v>
      </c>
      <c r="K3" s="46" t="s">
        <v>26</v>
      </c>
      <c r="L3" s="46" t="s">
        <v>27</v>
      </c>
      <c r="M3" s="46" t="s">
        <v>394</v>
      </c>
      <c r="N3" s="46" t="s">
        <v>396</v>
      </c>
      <c r="O3" s="46" t="s">
        <v>392</v>
      </c>
      <c r="P3" s="46" t="s">
        <v>397</v>
      </c>
      <c r="Q3" s="46" t="s">
        <v>14</v>
      </c>
      <c r="R3" s="46" t="s">
        <v>399</v>
      </c>
      <c r="S3" s="46" t="s">
        <v>401</v>
      </c>
      <c r="T3" s="46" t="s">
        <v>403</v>
      </c>
      <c r="U3" s="46" t="s">
        <v>32</v>
      </c>
      <c r="V3" s="46" t="s">
        <v>405</v>
      </c>
      <c r="W3" s="46" t="s">
        <v>406</v>
      </c>
      <c r="X3" s="46" t="s">
        <v>84</v>
      </c>
    </row>
    <row r="4" spans="1:24" x14ac:dyDescent="0.25">
      <c r="A4" s="46" t="s">
        <v>1907</v>
      </c>
      <c r="B4" s="46"/>
      <c r="C4" s="46" t="s">
        <v>1</v>
      </c>
      <c r="D4" s="46"/>
      <c r="E4" s="46"/>
      <c r="F4" s="46" t="s">
        <v>43</v>
      </c>
      <c r="G4" s="46"/>
      <c r="H4" s="46" t="s">
        <v>1866</v>
      </c>
      <c r="I4" s="46" t="s">
        <v>408</v>
      </c>
      <c r="J4" s="46" t="s">
        <v>410</v>
      </c>
      <c r="K4" s="46" t="s">
        <v>42</v>
      </c>
      <c r="L4" s="46" t="s">
        <v>413</v>
      </c>
      <c r="M4" s="46"/>
      <c r="N4" s="46" t="s">
        <v>415</v>
      </c>
      <c r="O4" s="46" t="s">
        <v>414</v>
      </c>
      <c r="P4" s="46" t="s">
        <v>416</v>
      </c>
      <c r="Q4" s="46" t="s">
        <v>418</v>
      </c>
      <c r="R4" s="46" t="s">
        <v>420</v>
      </c>
      <c r="S4" s="46" t="s">
        <v>422</v>
      </c>
      <c r="T4" s="46" t="s">
        <v>424</v>
      </c>
      <c r="U4" s="46" t="s">
        <v>426</v>
      </c>
      <c r="V4" s="46" t="s">
        <v>428</v>
      </c>
      <c r="W4" s="46"/>
      <c r="X4" s="46" t="s">
        <v>430</v>
      </c>
    </row>
    <row r="5" spans="1:24" x14ac:dyDescent="0.25">
      <c r="A5" s="46" t="s">
        <v>1908</v>
      </c>
      <c r="B5" s="46"/>
      <c r="C5" s="46" t="s">
        <v>1868</v>
      </c>
      <c r="D5" s="46"/>
      <c r="E5" s="46"/>
      <c r="F5" s="46"/>
      <c r="G5" s="46"/>
      <c r="H5" s="46"/>
      <c r="I5" s="46" t="s">
        <v>432</v>
      </c>
      <c r="J5" s="46" t="s">
        <v>434</v>
      </c>
      <c r="K5" s="46" t="s">
        <v>435</v>
      </c>
      <c r="L5" s="46" t="s">
        <v>437</v>
      </c>
      <c r="M5" s="46"/>
      <c r="N5" s="46" t="s">
        <v>438</v>
      </c>
      <c r="O5" s="46" t="s">
        <v>44</v>
      </c>
      <c r="P5" s="46" t="s">
        <v>439</v>
      </c>
      <c r="Q5" s="46" t="s">
        <v>441</v>
      </c>
      <c r="R5" s="46" t="s">
        <v>443</v>
      </c>
      <c r="S5" s="46" t="s">
        <v>445</v>
      </c>
      <c r="T5" s="46" t="s">
        <v>447</v>
      </c>
      <c r="U5" s="46" t="s">
        <v>449</v>
      </c>
      <c r="V5" s="46"/>
      <c r="W5" s="46"/>
      <c r="X5" s="46" t="s">
        <v>451</v>
      </c>
    </row>
    <row r="6" spans="1:24" x14ac:dyDescent="0.25">
      <c r="A6" s="46" t="s">
        <v>1909</v>
      </c>
      <c r="B6" s="46"/>
      <c r="C6" s="46"/>
      <c r="D6" s="46"/>
      <c r="E6" s="46"/>
      <c r="F6" s="46"/>
      <c r="G6" s="46"/>
      <c r="H6" s="46"/>
      <c r="I6" s="46" t="s">
        <v>452</v>
      </c>
      <c r="J6" s="46" t="s">
        <v>454</v>
      </c>
      <c r="K6" s="46" t="s">
        <v>456</v>
      </c>
      <c r="L6" s="46" t="s">
        <v>458</v>
      </c>
      <c r="M6" s="46"/>
      <c r="N6" s="46" t="s">
        <v>459</v>
      </c>
      <c r="O6" s="46"/>
      <c r="P6" s="46" t="s">
        <v>82</v>
      </c>
      <c r="Q6" s="46" t="s">
        <v>461</v>
      </c>
      <c r="R6" s="46" t="s">
        <v>463</v>
      </c>
      <c r="S6" s="46" t="s">
        <v>465</v>
      </c>
      <c r="T6" s="46" t="s">
        <v>467</v>
      </c>
      <c r="U6" s="46" t="s">
        <v>469</v>
      </c>
      <c r="V6" s="46"/>
      <c r="W6" s="46"/>
      <c r="X6" s="46" t="s">
        <v>470</v>
      </c>
    </row>
    <row r="7" spans="1:24" x14ac:dyDescent="0.25">
      <c r="A7" s="46" t="s">
        <v>1910</v>
      </c>
      <c r="B7" s="46"/>
      <c r="C7" s="46"/>
      <c r="D7" s="46"/>
      <c r="E7" s="46"/>
      <c r="F7" s="46"/>
      <c r="G7" s="46"/>
      <c r="H7" s="46"/>
      <c r="I7" s="46" t="s">
        <v>472</v>
      </c>
      <c r="J7" s="46" t="s">
        <v>474</v>
      </c>
      <c r="K7" s="46" t="s">
        <v>476</v>
      </c>
      <c r="L7" s="46" t="s">
        <v>478</v>
      </c>
      <c r="M7" s="46"/>
      <c r="N7" s="46" t="s">
        <v>479</v>
      </c>
      <c r="O7" s="46"/>
      <c r="P7" s="46" t="s">
        <v>13</v>
      </c>
      <c r="Q7" s="46" t="s">
        <v>481</v>
      </c>
      <c r="R7" s="46" t="s">
        <v>483</v>
      </c>
      <c r="S7" s="46"/>
      <c r="T7" s="46" t="s">
        <v>485</v>
      </c>
      <c r="U7" s="46" t="s">
        <v>487</v>
      </c>
      <c r="V7" s="46"/>
      <c r="W7" s="46"/>
      <c r="X7" s="46" t="s">
        <v>489</v>
      </c>
    </row>
    <row r="8" spans="1:24" x14ac:dyDescent="0.25">
      <c r="A8" s="46" t="s">
        <v>1911</v>
      </c>
      <c r="B8" s="46"/>
      <c r="C8" s="46"/>
      <c r="D8" s="46"/>
      <c r="E8" s="46"/>
      <c r="F8" s="46"/>
      <c r="G8" s="46"/>
      <c r="H8" s="46"/>
      <c r="I8" s="46" t="s">
        <v>491</v>
      </c>
      <c r="J8" s="46" t="s">
        <v>493</v>
      </c>
      <c r="K8" s="46" t="s">
        <v>495</v>
      </c>
      <c r="L8" s="46" t="s">
        <v>496</v>
      </c>
      <c r="M8" s="46"/>
      <c r="N8" s="46" t="s">
        <v>497</v>
      </c>
      <c r="O8" s="46"/>
      <c r="P8" s="46"/>
      <c r="Q8" s="46"/>
      <c r="R8" s="46" t="s">
        <v>499</v>
      </c>
      <c r="S8" s="46"/>
      <c r="T8" s="46" t="s">
        <v>501</v>
      </c>
      <c r="U8" s="46"/>
      <c r="V8" s="46"/>
      <c r="W8" s="46"/>
      <c r="X8" s="46" t="s">
        <v>502</v>
      </c>
    </row>
    <row r="9" spans="1:24" x14ac:dyDescent="0.25">
      <c r="A9" s="46"/>
      <c r="B9" s="46"/>
      <c r="C9" s="46"/>
      <c r="D9" s="46"/>
      <c r="E9" s="46"/>
      <c r="F9" s="46"/>
      <c r="G9" s="46"/>
      <c r="H9" s="46"/>
      <c r="I9" s="46" t="s">
        <v>504</v>
      </c>
      <c r="J9" s="46" t="s">
        <v>506</v>
      </c>
      <c r="K9" s="46" t="s">
        <v>1092</v>
      </c>
      <c r="L9" s="46" t="s">
        <v>508</v>
      </c>
      <c r="M9" s="46"/>
      <c r="N9" s="46" t="s">
        <v>509</v>
      </c>
      <c r="O9" s="46"/>
      <c r="P9" s="46"/>
      <c r="Q9" s="46"/>
      <c r="R9" s="46" t="s">
        <v>511</v>
      </c>
      <c r="S9" s="46"/>
      <c r="T9" s="46" t="s">
        <v>513</v>
      </c>
      <c r="U9" s="46"/>
      <c r="V9" s="46"/>
      <c r="W9" s="46"/>
      <c r="X9" s="46" t="s">
        <v>34</v>
      </c>
    </row>
    <row r="10" spans="1:24" x14ac:dyDescent="0.25">
      <c r="A10" s="46"/>
      <c r="B10" s="46"/>
      <c r="C10" s="46"/>
      <c r="D10" s="46"/>
      <c r="E10" s="46"/>
      <c r="F10" s="46"/>
      <c r="G10" s="46"/>
      <c r="H10" s="46"/>
      <c r="I10" s="46" t="s">
        <v>514</v>
      </c>
      <c r="J10" s="46" t="s">
        <v>516</v>
      </c>
      <c r="K10" s="46"/>
      <c r="L10" s="46" t="s">
        <v>518</v>
      </c>
      <c r="M10" s="46"/>
      <c r="N10" s="46" t="s">
        <v>519</v>
      </c>
      <c r="O10" s="46"/>
      <c r="P10" s="46"/>
      <c r="Q10" s="46"/>
      <c r="R10" s="46"/>
      <c r="S10" s="46"/>
      <c r="T10" s="46" t="s">
        <v>500</v>
      </c>
      <c r="U10" s="46"/>
      <c r="V10" s="46"/>
      <c r="W10" s="46"/>
      <c r="X10" s="46" t="s">
        <v>86</v>
      </c>
    </row>
    <row r="11" spans="1:24" x14ac:dyDescent="0.25">
      <c r="A11" s="46"/>
      <c r="B11" s="46"/>
      <c r="C11" s="46"/>
      <c r="D11" s="46"/>
      <c r="E11" s="46"/>
      <c r="F11" s="46"/>
      <c r="G11" s="46"/>
      <c r="H11" s="46"/>
      <c r="I11" s="46" t="s">
        <v>522</v>
      </c>
      <c r="J11" s="46" t="s">
        <v>524</v>
      </c>
      <c r="K11" s="46"/>
      <c r="L11" s="46" t="s">
        <v>526</v>
      </c>
      <c r="M11" s="46"/>
      <c r="N11" s="46" t="s">
        <v>527</v>
      </c>
      <c r="O11" s="46"/>
      <c r="P11" s="46"/>
      <c r="Q11" s="46"/>
      <c r="R11" s="46"/>
      <c r="S11" s="46"/>
      <c r="T11" s="46" t="s">
        <v>529</v>
      </c>
      <c r="U11" s="46"/>
      <c r="V11" s="46"/>
      <c r="W11" s="46"/>
      <c r="X11" s="46" t="s">
        <v>531</v>
      </c>
    </row>
    <row r="12" spans="1:24" x14ac:dyDescent="0.25">
      <c r="A12" s="46"/>
      <c r="B12" s="46"/>
      <c r="C12" s="46"/>
      <c r="D12" s="46"/>
      <c r="E12" s="46"/>
      <c r="F12" s="46"/>
      <c r="G12" s="46"/>
      <c r="H12" s="46"/>
      <c r="I12" s="46" t="s">
        <v>533</v>
      </c>
      <c r="J12" s="46" t="s">
        <v>535</v>
      </c>
      <c r="K12" s="46"/>
      <c r="L12" s="46" t="s">
        <v>536</v>
      </c>
      <c r="M12" s="46"/>
      <c r="N12" s="46" t="s">
        <v>537</v>
      </c>
      <c r="O12" s="46"/>
      <c r="P12" s="46"/>
      <c r="Q12" s="46"/>
      <c r="R12" s="46"/>
      <c r="S12" s="46"/>
      <c r="T12" s="46" t="s">
        <v>539</v>
      </c>
      <c r="U12" s="46"/>
      <c r="V12" s="46"/>
      <c r="W12" s="46"/>
      <c r="X12" s="46"/>
    </row>
    <row r="13" spans="1:24" x14ac:dyDescent="0.25">
      <c r="A13" s="46"/>
      <c r="B13" s="46"/>
      <c r="C13" s="46"/>
      <c r="D13" s="46"/>
      <c r="E13" s="46"/>
      <c r="F13" s="46"/>
      <c r="G13" s="46"/>
      <c r="H13" s="46"/>
      <c r="I13" s="46" t="s">
        <v>540</v>
      </c>
      <c r="J13" s="46" t="s">
        <v>542</v>
      </c>
      <c r="K13" s="46"/>
      <c r="L13" s="46"/>
      <c r="M13" s="46"/>
      <c r="N13" s="46" t="s">
        <v>543</v>
      </c>
      <c r="O13" s="46"/>
      <c r="P13" s="46"/>
      <c r="Q13" s="46"/>
      <c r="R13" s="46"/>
      <c r="S13" s="46"/>
      <c r="T13" s="46" t="s">
        <v>545</v>
      </c>
      <c r="U13" s="46"/>
      <c r="V13" s="46"/>
      <c r="W13" s="46"/>
      <c r="X13" s="46"/>
    </row>
    <row r="14" spans="1:24" x14ac:dyDescent="0.25">
      <c r="A14" s="46"/>
      <c r="B14" s="46"/>
      <c r="C14" s="46"/>
      <c r="D14" s="46"/>
      <c r="E14" s="46"/>
      <c r="F14" s="46"/>
      <c r="G14" s="46"/>
      <c r="H14" s="46"/>
      <c r="I14" s="46" t="s">
        <v>547</v>
      </c>
      <c r="J14" s="46" t="s">
        <v>549</v>
      </c>
      <c r="K14" s="46"/>
      <c r="L14" s="46"/>
      <c r="M14" s="46"/>
      <c r="N14" s="46" t="s">
        <v>551</v>
      </c>
      <c r="O14" s="46"/>
      <c r="P14" s="46"/>
      <c r="Q14" s="46"/>
      <c r="R14" s="46"/>
      <c r="S14" s="46"/>
      <c r="T14" s="46" t="s">
        <v>553</v>
      </c>
      <c r="U14" s="46"/>
      <c r="V14" s="46"/>
      <c r="W14" s="46"/>
      <c r="X14" s="46"/>
    </row>
    <row r="15" spans="1:24" x14ac:dyDescent="0.25">
      <c r="A15" s="46"/>
      <c r="B15" s="46"/>
      <c r="C15" s="46"/>
      <c r="D15" s="46"/>
      <c r="E15" s="46"/>
      <c r="F15" s="46"/>
      <c r="G15" s="46"/>
      <c r="H15" s="46"/>
      <c r="I15" s="46" t="s">
        <v>555</v>
      </c>
      <c r="J15" s="46" t="s">
        <v>557</v>
      </c>
      <c r="K15" s="46"/>
      <c r="L15" s="46"/>
      <c r="M15" s="46"/>
      <c r="N15" s="46" t="s">
        <v>559</v>
      </c>
      <c r="O15" s="46"/>
      <c r="P15" s="46"/>
      <c r="Q15" s="46"/>
      <c r="R15" s="46"/>
      <c r="S15" s="46"/>
      <c r="T15" s="46" t="s">
        <v>561</v>
      </c>
      <c r="U15" s="46"/>
      <c r="V15" s="46"/>
      <c r="W15" s="46"/>
      <c r="X15" s="46"/>
    </row>
    <row r="16" spans="1:24" x14ac:dyDescent="0.25">
      <c r="A16" s="46"/>
      <c r="B16" s="46"/>
      <c r="C16" s="46"/>
      <c r="D16" s="46"/>
      <c r="E16" s="46"/>
      <c r="F16" s="46"/>
      <c r="G16" s="46"/>
      <c r="H16" s="46"/>
      <c r="I16" s="46" t="s">
        <v>562</v>
      </c>
      <c r="J16" s="46" t="s">
        <v>564</v>
      </c>
      <c r="K16" s="46"/>
      <c r="L16" s="46"/>
      <c r="M16" s="46"/>
      <c r="N16" s="46" t="s">
        <v>566</v>
      </c>
      <c r="O16" s="46"/>
      <c r="P16" s="46"/>
      <c r="Q16" s="46"/>
      <c r="R16" s="46"/>
      <c r="S16" s="46"/>
      <c r="T16" s="46" t="s">
        <v>568</v>
      </c>
      <c r="U16" s="46"/>
      <c r="V16" s="46"/>
      <c r="W16" s="46"/>
      <c r="X16" s="46"/>
    </row>
    <row r="17" spans="1:24" x14ac:dyDescent="0.25">
      <c r="A17" s="46"/>
      <c r="B17" s="46"/>
      <c r="C17" s="46"/>
      <c r="D17" s="46"/>
      <c r="E17" s="46"/>
      <c r="F17" s="46"/>
      <c r="G17" s="46"/>
      <c r="H17" s="46"/>
      <c r="I17" s="46" t="s">
        <v>570</v>
      </c>
      <c r="J17" s="46" t="s">
        <v>547</v>
      </c>
      <c r="K17" s="46"/>
      <c r="L17" s="46"/>
      <c r="M17" s="46"/>
      <c r="N17" s="46" t="s">
        <v>573</v>
      </c>
      <c r="O17" s="46"/>
      <c r="P17" s="46"/>
      <c r="Q17" s="46"/>
      <c r="R17" s="46"/>
      <c r="S17" s="46"/>
      <c r="T17" s="46" t="s">
        <v>575</v>
      </c>
      <c r="U17" s="46"/>
      <c r="V17" s="46"/>
      <c r="W17" s="46"/>
      <c r="X17" s="46"/>
    </row>
    <row r="18" spans="1:24" x14ac:dyDescent="0.25">
      <c r="A18" s="46"/>
      <c r="B18" s="46"/>
      <c r="C18" s="46"/>
      <c r="D18" s="46"/>
      <c r="E18" s="46"/>
      <c r="F18" s="46"/>
      <c r="G18" s="46"/>
      <c r="H18" s="46"/>
      <c r="I18" s="46" t="s">
        <v>577</v>
      </c>
      <c r="J18" s="46" t="s">
        <v>579</v>
      </c>
      <c r="K18" s="46"/>
      <c r="L18" s="46"/>
      <c r="M18" s="46"/>
      <c r="N18" s="46" t="s">
        <v>581</v>
      </c>
      <c r="O18" s="46"/>
      <c r="P18" s="46"/>
      <c r="Q18" s="46"/>
      <c r="R18" s="46"/>
      <c r="S18" s="46"/>
      <c r="T18" s="46" t="s">
        <v>583</v>
      </c>
      <c r="U18" s="46"/>
      <c r="V18" s="46"/>
      <c r="W18" s="46"/>
      <c r="X18" s="46"/>
    </row>
    <row r="19" spans="1:24" x14ac:dyDescent="0.25">
      <c r="A19" s="46"/>
      <c r="B19" s="46"/>
      <c r="C19" s="46"/>
      <c r="D19" s="46"/>
      <c r="E19" s="46"/>
      <c r="F19" s="46"/>
      <c r="G19" s="46"/>
      <c r="H19" s="46"/>
      <c r="I19" s="46" t="s">
        <v>584</v>
      </c>
      <c r="J19" s="46" t="s">
        <v>586</v>
      </c>
      <c r="K19" s="46"/>
      <c r="L19" s="46"/>
      <c r="M19" s="46"/>
      <c r="N19" s="46" t="s">
        <v>588</v>
      </c>
      <c r="O19" s="46"/>
      <c r="P19" s="46"/>
      <c r="Q19" s="46"/>
      <c r="R19" s="46"/>
      <c r="S19" s="46"/>
      <c r="T19" s="46" t="s">
        <v>590</v>
      </c>
      <c r="U19" s="46"/>
      <c r="V19" s="46"/>
      <c r="W19" s="46"/>
      <c r="X19" s="46"/>
    </row>
    <row r="20" spans="1:24" x14ac:dyDescent="0.25">
      <c r="A20" s="46"/>
      <c r="B20" s="46"/>
      <c r="C20" s="46"/>
      <c r="D20" s="46"/>
      <c r="E20" s="46"/>
      <c r="F20" s="46"/>
      <c r="G20" s="46"/>
      <c r="H20" s="46"/>
      <c r="I20" s="46" t="s">
        <v>591</v>
      </c>
      <c r="J20" s="46" t="s">
        <v>593</v>
      </c>
      <c r="K20" s="46"/>
      <c r="L20" s="46"/>
      <c r="M20" s="46"/>
      <c r="N20" s="46" t="s">
        <v>595</v>
      </c>
      <c r="O20" s="46"/>
      <c r="P20" s="46"/>
      <c r="Q20" s="46"/>
      <c r="R20" s="46"/>
      <c r="S20" s="46"/>
      <c r="T20" s="46" t="s">
        <v>597</v>
      </c>
      <c r="U20" s="46"/>
      <c r="V20" s="46"/>
      <c r="W20" s="46"/>
      <c r="X20" s="46"/>
    </row>
    <row r="21" spans="1:24" x14ac:dyDescent="0.25">
      <c r="A21" s="46"/>
      <c r="B21" s="46"/>
      <c r="C21" s="46"/>
      <c r="D21" s="46"/>
      <c r="E21" s="46"/>
      <c r="F21" s="46"/>
      <c r="G21" s="46"/>
      <c r="H21" s="46"/>
      <c r="I21" s="46" t="s">
        <v>371</v>
      </c>
      <c r="J21" s="46" t="s">
        <v>600</v>
      </c>
      <c r="K21" s="46"/>
      <c r="L21" s="46"/>
      <c r="M21" s="46"/>
      <c r="N21" s="46" t="s">
        <v>601</v>
      </c>
      <c r="O21" s="46"/>
      <c r="P21" s="46"/>
      <c r="Q21" s="46"/>
      <c r="R21" s="46"/>
      <c r="S21" s="46"/>
      <c r="T21" s="46" t="s">
        <v>603</v>
      </c>
      <c r="U21" s="46"/>
      <c r="V21" s="46"/>
      <c r="W21" s="46"/>
      <c r="X21" s="46"/>
    </row>
    <row r="22" spans="1:24" x14ac:dyDescent="0.25">
      <c r="A22" s="46"/>
      <c r="B22" s="46"/>
      <c r="C22" s="46"/>
      <c r="D22" s="46"/>
      <c r="E22" s="46"/>
      <c r="F22" s="46"/>
      <c r="G22" s="46"/>
      <c r="H22" s="46"/>
      <c r="I22" s="46" t="s">
        <v>604</v>
      </c>
      <c r="J22" s="46" t="s">
        <v>606</v>
      </c>
      <c r="K22" s="46"/>
      <c r="L22" s="46"/>
      <c r="M22" s="46"/>
      <c r="N22" s="46" t="s">
        <v>608</v>
      </c>
      <c r="O22" s="46"/>
      <c r="P22" s="46"/>
      <c r="Q22" s="46"/>
      <c r="R22" s="46"/>
      <c r="S22" s="46"/>
      <c r="T22" s="46" t="s">
        <v>610</v>
      </c>
      <c r="U22" s="46"/>
      <c r="V22" s="46"/>
      <c r="W22" s="46"/>
      <c r="X22" s="46"/>
    </row>
    <row r="23" spans="1:24" x14ac:dyDescent="0.25">
      <c r="A23" s="46"/>
      <c r="B23" s="46"/>
      <c r="C23" s="46"/>
      <c r="D23" s="46"/>
      <c r="E23" s="46"/>
      <c r="F23" s="46"/>
      <c r="G23" s="46"/>
      <c r="H23" s="46"/>
      <c r="I23" s="46" t="s">
        <v>25</v>
      </c>
      <c r="J23" s="46" t="s">
        <v>613</v>
      </c>
      <c r="K23" s="46"/>
      <c r="L23" s="46"/>
      <c r="M23" s="46"/>
      <c r="N23" s="46" t="s">
        <v>48</v>
      </c>
      <c r="O23" s="46"/>
      <c r="P23" s="46"/>
      <c r="Q23" s="46"/>
      <c r="R23" s="46"/>
      <c r="S23" s="46"/>
      <c r="T23" s="46" t="s">
        <v>615</v>
      </c>
      <c r="U23" s="46"/>
      <c r="V23" s="46"/>
      <c r="W23" s="46"/>
      <c r="X23" s="46"/>
    </row>
    <row r="24" spans="1:24" x14ac:dyDescent="0.25">
      <c r="A24" s="46"/>
      <c r="B24" s="46"/>
      <c r="C24" s="46"/>
      <c r="D24" s="46"/>
      <c r="E24" s="46"/>
      <c r="F24" s="46"/>
      <c r="G24" s="46"/>
      <c r="H24" s="46"/>
      <c r="I24" s="46" t="s">
        <v>616</v>
      </c>
      <c r="J24" s="46" t="s">
        <v>41</v>
      </c>
      <c r="K24" s="46"/>
      <c r="L24" s="46"/>
      <c r="M24" s="46"/>
      <c r="N24" s="46" t="s">
        <v>619</v>
      </c>
      <c r="O24" s="46"/>
      <c r="P24" s="46"/>
      <c r="Q24" s="46"/>
      <c r="R24" s="46"/>
      <c r="S24" s="46"/>
      <c r="T24" s="46" t="s">
        <v>621</v>
      </c>
      <c r="U24" s="46"/>
      <c r="V24" s="46"/>
      <c r="W24" s="46"/>
      <c r="X24" s="46"/>
    </row>
    <row r="25" spans="1:24" x14ac:dyDescent="0.25">
      <c r="A25" s="46"/>
      <c r="B25" s="46"/>
      <c r="C25" s="46"/>
      <c r="D25" s="46"/>
      <c r="E25" s="46"/>
      <c r="F25" s="46"/>
      <c r="G25" s="46"/>
      <c r="H25" s="46"/>
      <c r="I25" s="46" t="s">
        <v>622</v>
      </c>
      <c r="J25" s="46" t="s">
        <v>624</v>
      </c>
      <c r="K25" s="46"/>
      <c r="L25" s="46"/>
      <c r="M25" s="46"/>
      <c r="N25" s="46" t="s">
        <v>625</v>
      </c>
      <c r="O25" s="46"/>
      <c r="P25" s="46"/>
      <c r="Q25" s="46"/>
      <c r="R25" s="46"/>
      <c r="S25" s="46"/>
      <c r="T25" s="46" t="s">
        <v>627</v>
      </c>
      <c r="U25" s="46"/>
      <c r="V25" s="46"/>
      <c r="W25" s="46"/>
      <c r="X25" s="46"/>
    </row>
    <row r="26" spans="1:24" x14ac:dyDescent="0.25">
      <c r="A26" s="46"/>
      <c r="B26" s="46"/>
      <c r="C26" s="46"/>
      <c r="D26" s="46"/>
      <c r="E26" s="46"/>
      <c r="F26" s="46"/>
      <c r="G26" s="46"/>
      <c r="H26" s="46"/>
      <c r="I26" s="46" t="s">
        <v>628</v>
      </c>
      <c r="J26" s="46" t="s">
        <v>630</v>
      </c>
      <c r="K26" s="46"/>
      <c r="L26" s="46"/>
      <c r="M26" s="46"/>
      <c r="N26" s="46" t="s">
        <v>632</v>
      </c>
      <c r="O26" s="46"/>
      <c r="P26" s="46"/>
      <c r="Q26" s="46"/>
      <c r="R26" s="46"/>
      <c r="S26" s="46"/>
      <c r="T26" s="46" t="s">
        <v>634</v>
      </c>
      <c r="U26" s="46"/>
      <c r="V26" s="46"/>
      <c r="W26" s="46"/>
      <c r="X26" s="46"/>
    </row>
    <row r="27" spans="1:24" x14ac:dyDescent="0.25">
      <c r="A27" s="46"/>
      <c r="B27" s="46"/>
      <c r="C27" s="46"/>
      <c r="D27" s="46"/>
      <c r="E27" s="46"/>
      <c r="F27" s="46"/>
      <c r="G27" s="46"/>
      <c r="H27" s="46"/>
      <c r="I27" s="46" t="s">
        <v>635</v>
      </c>
      <c r="J27" s="46" t="s">
        <v>637</v>
      </c>
      <c r="K27" s="46"/>
      <c r="L27" s="46"/>
      <c r="M27" s="46"/>
      <c r="N27" s="46" t="s">
        <v>638</v>
      </c>
      <c r="O27" s="46"/>
      <c r="P27" s="46"/>
      <c r="Q27" s="46"/>
      <c r="R27" s="46"/>
      <c r="S27" s="46"/>
      <c r="T27" s="46" t="s">
        <v>640</v>
      </c>
      <c r="U27" s="46"/>
      <c r="V27" s="46"/>
      <c r="W27" s="46"/>
      <c r="X27" s="46"/>
    </row>
    <row r="28" spans="1:24" x14ac:dyDescent="0.25">
      <c r="A28" s="46"/>
      <c r="B28" s="46"/>
      <c r="C28" s="46"/>
      <c r="D28" s="46"/>
      <c r="E28" s="46"/>
      <c r="F28" s="46"/>
      <c r="G28" s="46"/>
      <c r="H28" s="46"/>
      <c r="I28" s="46" t="s">
        <v>642</v>
      </c>
      <c r="J28" s="46" t="s">
        <v>644</v>
      </c>
      <c r="K28" s="46"/>
      <c r="L28" s="46"/>
      <c r="M28" s="46"/>
      <c r="N28" s="46" t="s">
        <v>645</v>
      </c>
      <c r="O28" s="46"/>
      <c r="P28" s="46"/>
      <c r="Q28" s="46"/>
      <c r="R28" s="46"/>
      <c r="S28" s="46"/>
      <c r="T28" s="46" t="s">
        <v>647</v>
      </c>
      <c r="U28" s="46"/>
      <c r="V28" s="46"/>
      <c r="W28" s="46"/>
      <c r="X28" s="46"/>
    </row>
    <row r="29" spans="1:24" x14ac:dyDescent="0.25">
      <c r="A29" s="46"/>
      <c r="B29" s="46"/>
      <c r="C29" s="46"/>
      <c r="D29" s="46"/>
      <c r="E29" s="46"/>
      <c r="F29" s="46"/>
      <c r="G29" s="46"/>
      <c r="H29" s="46"/>
      <c r="I29" s="46" t="s">
        <v>649</v>
      </c>
      <c r="J29" s="46"/>
      <c r="K29" s="46"/>
      <c r="L29" s="46"/>
      <c r="M29" s="46"/>
      <c r="N29" s="46" t="s">
        <v>650</v>
      </c>
      <c r="O29" s="46"/>
      <c r="P29" s="46"/>
      <c r="Q29" s="46"/>
      <c r="R29" s="46"/>
      <c r="S29" s="46"/>
      <c r="T29" s="46" t="s">
        <v>652</v>
      </c>
      <c r="U29" s="46"/>
      <c r="V29" s="46"/>
      <c r="W29" s="46"/>
      <c r="X29" s="46"/>
    </row>
    <row r="30" spans="1:24" x14ac:dyDescent="0.25">
      <c r="A30" s="46"/>
      <c r="B30" s="46"/>
      <c r="C30" s="46"/>
      <c r="D30" s="46"/>
      <c r="E30" s="46"/>
      <c r="F30" s="46"/>
      <c r="G30" s="46"/>
      <c r="H30" s="46"/>
      <c r="I30" s="46" t="s">
        <v>654</v>
      </c>
      <c r="J30" s="46"/>
      <c r="K30" s="46"/>
      <c r="L30" s="46"/>
      <c r="M30" s="46"/>
      <c r="N30" s="46" t="s">
        <v>655</v>
      </c>
      <c r="O30" s="46"/>
      <c r="P30" s="46"/>
      <c r="Q30" s="46"/>
      <c r="R30" s="46"/>
      <c r="S30" s="46"/>
      <c r="T30" s="46" t="s">
        <v>73</v>
      </c>
      <c r="U30" s="46"/>
      <c r="V30" s="46"/>
      <c r="W30" s="46"/>
      <c r="X30" s="46"/>
    </row>
    <row r="31" spans="1:24" x14ac:dyDescent="0.25">
      <c r="A31" s="46"/>
      <c r="B31" s="46"/>
      <c r="C31" s="46"/>
      <c r="D31" s="46"/>
      <c r="E31" s="46"/>
      <c r="F31" s="46"/>
      <c r="G31" s="46"/>
      <c r="H31" s="46"/>
      <c r="I31" s="46" t="s">
        <v>657</v>
      </c>
      <c r="J31" s="46"/>
      <c r="K31" s="46"/>
      <c r="L31" s="46"/>
      <c r="M31" s="46"/>
      <c r="N31" s="46" t="s">
        <v>658</v>
      </c>
      <c r="O31" s="46"/>
      <c r="P31" s="46"/>
      <c r="Q31" s="46"/>
      <c r="R31" s="46"/>
      <c r="S31" s="46"/>
      <c r="T31" s="46" t="s">
        <v>660</v>
      </c>
      <c r="U31" s="46"/>
      <c r="V31" s="46"/>
      <c r="W31" s="46"/>
      <c r="X31" s="46"/>
    </row>
    <row r="32" spans="1:24" x14ac:dyDescent="0.25">
      <c r="A32" s="46"/>
      <c r="B32" s="46"/>
      <c r="C32" s="46"/>
      <c r="D32" s="46"/>
      <c r="E32" s="46"/>
      <c r="F32" s="46"/>
      <c r="G32" s="46"/>
      <c r="H32" s="46"/>
      <c r="I32" s="46" t="s">
        <v>661</v>
      </c>
      <c r="J32" s="46"/>
      <c r="K32" s="46"/>
      <c r="L32" s="46"/>
      <c r="M32" s="46"/>
      <c r="N32" s="46" t="s">
        <v>662</v>
      </c>
      <c r="O32" s="46"/>
      <c r="P32" s="46"/>
      <c r="Q32" s="46"/>
      <c r="R32" s="46"/>
      <c r="S32" s="46"/>
      <c r="T32" s="46" t="s">
        <v>74</v>
      </c>
      <c r="U32" s="46"/>
      <c r="V32" s="46"/>
      <c r="W32" s="46"/>
      <c r="X32" s="46"/>
    </row>
    <row r="33" spans="1:24" x14ac:dyDescent="0.25">
      <c r="A33" s="46"/>
      <c r="B33" s="46"/>
      <c r="C33" s="46"/>
      <c r="D33" s="46"/>
      <c r="E33" s="46"/>
      <c r="F33" s="46"/>
      <c r="G33" s="46"/>
      <c r="H33" s="46"/>
      <c r="I33" s="46" t="s">
        <v>665</v>
      </c>
      <c r="J33" s="46"/>
      <c r="K33" s="46"/>
      <c r="L33" s="46"/>
      <c r="M33" s="46"/>
      <c r="N33" s="46" t="s">
        <v>666</v>
      </c>
      <c r="O33" s="46"/>
      <c r="P33" s="46"/>
      <c r="Q33" s="46"/>
      <c r="R33" s="46"/>
      <c r="S33" s="46"/>
      <c r="T33" s="46" t="s">
        <v>668</v>
      </c>
      <c r="U33" s="46"/>
      <c r="V33" s="46"/>
      <c r="W33" s="46"/>
      <c r="X33" s="46"/>
    </row>
    <row r="34" spans="1:24" x14ac:dyDescent="0.25">
      <c r="A34" s="46"/>
      <c r="B34" s="46"/>
      <c r="C34" s="46"/>
      <c r="D34" s="46"/>
      <c r="E34" s="46"/>
      <c r="F34" s="46"/>
      <c r="G34" s="46"/>
      <c r="H34" s="46"/>
      <c r="I34" s="46" t="s">
        <v>670</v>
      </c>
      <c r="J34" s="46"/>
      <c r="K34" s="46"/>
      <c r="L34" s="46"/>
      <c r="M34" s="46"/>
      <c r="N34" s="46" t="s">
        <v>671</v>
      </c>
      <c r="O34" s="46"/>
      <c r="P34" s="46"/>
      <c r="Q34" s="46"/>
      <c r="R34" s="46"/>
      <c r="S34" s="46"/>
      <c r="T34" s="46" t="s">
        <v>673</v>
      </c>
      <c r="U34" s="46"/>
      <c r="V34" s="46"/>
      <c r="W34" s="46"/>
      <c r="X34" s="46"/>
    </row>
    <row r="35" spans="1:24" x14ac:dyDescent="0.25">
      <c r="A35" s="46"/>
      <c r="B35" s="46"/>
      <c r="C35" s="46"/>
      <c r="D35" s="46"/>
      <c r="E35" s="46"/>
      <c r="F35" s="46"/>
      <c r="G35" s="46"/>
      <c r="H35" s="46"/>
      <c r="I35" s="46" t="s">
        <v>675</v>
      </c>
      <c r="J35" s="46"/>
      <c r="K35" s="46"/>
      <c r="L35" s="46"/>
      <c r="M35" s="46"/>
      <c r="N35" s="46" t="s">
        <v>676</v>
      </c>
      <c r="O35" s="46"/>
      <c r="P35" s="46"/>
      <c r="Q35" s="46"/>
      <c r="R35" s="46"/>
      <c r="S35" s="46"/>
      <c r="T35" s="46" t="s">
        <v>678</v>
      </c>
      <c r="U35" s="46"/>
      <c r="V35" s="46"/>
      <c r="W35" s="46"/>
      <c r="X35" s="46"/>
    </row>
    <row r="36" spans="1:24" x14ac:dyDescent="0.25">
      <c r="A36" s="46"/>
      <c r="B36" s="46"/>
      <c r="C36" s="46"/>
      <c r="D36" s="46"/>
      <c r="E36" s="46"/>
      <c r="F36" s="46"/>
      <c r="G36" s="46"/>
      <c r="H36" s="46"/>
      <c r="I36" s="46" t="s">
        <v>679</v>
      </c>
      <c r="J36" s="46"/>
      <c r="K36" s="46"/>
      <c r="L36" s="46"/>
      <c r="M36" s="46"/>
      <c r="N36" s="46" t="s">
        <v>680</v>
      </c>
      <c r="O36" s="46"/>
      <c r="P36" s="46"/>
      <c r="Q36" s="46"/>
      <c r="R36" s="46"/>
      <c r="S36" s="46"/>
      <c r="T36" s="46" t="s">
        <v>682</v>
      </c>
      <c r="U36" s="46"/>
      <c r="V36" s="46"/>
      <c r="W36" s="46"/>
      <c r="X36" s="46"/>
    </row>
    <row r="37" spans="1:24" x14ac:dyDescent="0.25">
      <c r="A37" s="46"/>
      <c r="B37" s="46"/>
      <c r="C37" s="46"/>
      <c r="D37" s="46"/>
      <c r="E37" s="46"/>
      <c r="F37" s="46"/>
      <c r="G37" s="46"/>
      <c r="H37" s="46"/>
      <c r="I37" s="46" t="s">
        <v>684</v>
      </c>
      <c r="J37" s="46"/>
      <c r="K37" s="46"/>
      <c r="L37" s="46"/>
      <c r="M37" s="46"/>
      <c r="N37" s="46" t="s">
        <v>685</v>
      </c>
      <c r="O37" s="46"/>
      <c r="P37" s="46"/>
      <c r="Q37" s="46"/>
      <c r="R37" s="46"/>
      <c r="S37" s="46"/>
      <c r="T37" s="46" t="s">
        <v>687</v>
      </c>
      <c r="U37" s="46"/>
      <c r="V37" s="46"/>
      <c r="W37" s="46"/>
      <c r="X37" s="46"/>
    </row>
    <row r="38" spans="1:24" x14ac:dyDescent="0.25">
      <c r="A38" s="46"/>
      <c r="B38" s="46"/>
      <c r="C38" s="46"/>
      <c r="D38" s="46"/>
      <c r="E38" s="46"/>
      <c r="F38" s="46"/>
      <c r="G38" s="46"/>
      <c r="H38" s="46"/>
      <c r="I38" s="46" t="s">
        <v>689</v>
      </c>
      <c r="J38" s="46"/>
      <c r="K38" s="46"/>
      <c r="L38" s="46"/>
      <c r="M38" s="46"/>
      <c r="N38" s="46" t="s">
        <v>690</v>
      </c>
      <c r="O38" s="46"/>
      <c r="P38" s="46"/>
      <c r="Q38" s="46"/>
      <c r="R38" s="46"/>
      <c r="S38" s="46"/>
      <c r="T38" s="46" t="s">
        <v>692</v>
      </c>
      <c r="U38" s="46"/>
      <c r="V38" s="46"/>
      <c r="W38" s="46"/>
      <c r="X38" s="46"/>
    </row>
    <row r="39" spans="1:24" x14ac:dyDescent="0.25">
      <c r="A39" s="46"/>
      <c r="B39" s="46"/>
      <c r="C39" s="46"/>
      <c r="D39" s="46"/>
      <c r="E39" s="46"/>
      <c r="F39" s="46"/>
      <c r="G39" s="46"/>
      <c r="H39" s="46"/>
      <c r="I39" s="46" t="s">
        <v>694</v>
      </c>
      <c r="J39" s="46"/>
      <c r="K39" s="46"/>
      <c r="L39" s="46"/>
      <c r="M39" s="46"/>
      <c r="N39" s="46" t="s">
        <v>695</v>
      </c>
      <c r="O39" s="46"/>
      <c r="P39" s="46"/>
      <c r="Q39" s="46"/>
      <c r="R39" s="46"/>
      <c r="S39" s="46"/>
      <c r="T39" s="46" t="s">
        <v>697</v>
      </c>
      <c r="U39" s="46"/>
      <c r="V39" s="46"/>
      <c r="W39" s="46"/>
      <c r="X39" s="46"/>
    </row>
    <row r="40" spans="1:24" x14ac:dyDescent="0.25">
      <c r="A40" s="46"/>
      <c r="B40" s="46"/>
      <c r="C40" s="46"/>
      <c r="D40" s="46"/>
      <c r="E40" s="46"/>
      <c r="F40" s="46"/>
      <c r="G40" s="46"/>
      <c r="H40" s="46"/>
      <c r="I40" s="46" t="s">
        <v>699</v>
      </c>
      <c r="J40" s="46"/>
      <c r="K40" s="46"/>
      <c r="L40" s="46"/>
      <c r="M40" s="46"/>
      <c r="N40" s="46" t="s">
        <v>700</v>
      </c>
      <c r="O40" s="46"/>
      <c r="P40" s="46"/>
      <c r="Q40" s="46"/>
      <c r="R40" s="46"/>
      <c r="S40" s="46"/>
      <c r="T40" s="46" t="s">
        <v>702</v>
      </c>
      <c r="U40" s="46"/>
      <c r="V40" s="46"/>
      <c r="W40" s="46"/>
      <c r="X40" s="46"/>
    </row>
    <row r="41" spans="1:24" x14ac:dyDescent="0.25">
      <c r="A41" s="46"/>
      <c r="B41" s="46"/>
      <c r="C41" s="46"/>
      <c r="D41" s="46"/>
      <c r="E41" s="46"/>
      <c r="F41" s="46"/>
      <c r="G41" s="46"/>
      <c r="H41" s="46"/>
      <c r="I41" s="46" t="s">
        <v>704</v>
      </c>
      <c r="J41" s="46"/>
      <c r="K41" s="46"/>
      <c r="L41" s="46"/>
      <c r="M41" s="46"/>
      <c r="N41" s="46" t="s">
        <v>705</v>
      </c>
      <c r="O41" s="46"/>
      <c r="P41" s="46"/>
      <c r="Q41" s="46"/>
      <c r="R41" s="46"/>
      <c r="S41" s="46"/>
      <c r="T41" s="46" t="s">
        <v>707</v>
      </c>
      <c r="U41" s="46"/>
      <c r="V41" s="46"/>
      <c r="W41" s="46"/>
      <c r="X41" s="46"/>
    </row>
    <row r="42" spans="1:24" x14ac:dyDescent="0.25">
      <c r="A42" s="46"/>
      <c r="B42" s="46"/>
      <c r="C42" s="46"/>
      <c r="D42" s="46"/>
      <c r="E42" s="46"/>
      <c r="F42" s="46"/>
      <c r="G42" s="46"/>
      <c r="H42" s="46"/>
      <c r="I42" s="46" t="s">
        <v>709</v>
      </c>
      <c r="J42" s="46"/>
      <c r="K42" s="46"/>
      <c r="L42" s="46"/>
      <c r="M42" s="46"/>
      <c r="N42" s="46" t="s">
        <v>710</v>
      </c>
      <c r="O42" s="46"/>
      <c r="P42" s="46"/>
      <c r="Q42" s="46"/>
      <c r="R42" s="46"/>
      <c r="S42" s="46"/>
      <c r="T42" s="46" t="s">
        <v>712</v>
      </c>
      <c r="U42" s="46"/>
      <c r="V42" s="46"/>
      <c r="W42" s="46"/>
      <c r="X42" s="46"/>
    </row>
    <row r="43" spans="1:24" x14ac:dyDescent="0.25">
      <c r="A43" s="46"/>
      <c r="B43" s="46"/>
      <c r="C43" s="46"/>
      <c r="D43" s="46"/>
      <c r="E43" s="46"/>
      <c r="F43" s="46"/>
      <c r="G43" s="46"/>
      <c r="H43" s="46"/>
      <c r="I43" s="46" t="s">
        <v>714</v>
      </c>
      <c r="J43" s="46"/>
      <c r="K43" s="46"/>
      <c r="L43" s="46"/>
      <c r="M43" s="46"/>
      <c r="N43" s="46" t="s">
        <v>715</v>
      </c>
      <c r="O43" s="46"/>
      <c r="P43" s="46"/>
      <c r="Q43" s="46"/>
      <c r="R43" s="46"/>
      <c r="S43" s="46"/>
      <c r="T43" s="46" t="s">
        <v>717</v>
      </c>
      <c r="U43" s="46"/>
      <c r="V43" s="46"/>
      <c r="W43" s="46"/>
      <c r="X43" s="46"/>
    </row>
    <row r="44" spans="1:24" x14ac:dyDescent="0.25">
      <c r="A44" s="46"/>
      <c r="B44" s="46"/>
      <c r="C44" s="46"/>
      <c r="D44" s="46"/>
      <c r="E44" s="46"/>
      <c r="F44" s="46"/>
      <c r="G44" s="46"/>
      <c r="H44" s="46"/>
      <c r="I44" s="46" t="s">
        <v>719</v>
      </c>
      <c r="J44" s="46"/>
      <c r="K44" s="46"/>
      <c r="L44" s="46"/>
      <c r="M44" s="46"/>
      <c r="N44" s="46" t="s">
        <v>720</v>
      </c>
      <c r="O44" s="46"/>
      <c r="P44" s="46"/>
      <c r="Q44" s="46"/>
      <c r="R44" s="46"/>
      <c r="S44" s="46"/>
      <c r="T44" s="46" t="s">
        <v>722</v>
      </c>
      <c r="U44" s="46"/>
      <c r="V44" s="46"/>
      <c r="W44" s="46"/>
      <c r="X44" s="46"/>
    </row>
    <row r="45" spans="1:24" x14ac:dyDescent="0.25">
      <c r="A45" s="46"/>
      <c r="B45" s="46"/>
      <c r="C45" s="46"/>
      <c r="D45" s="46"/>
      <c r="E45" s="46"/>
      <c r="F45" s="46"/>
      <c r="G45" s="46"/>
      <c r="H45" s="46"/>
      <c r="I45" s="46" t="s">
        <v>723</v>
      </c>
      <c r="J45" s="46"/>
      <c r="K45" s="46"/>
      <c r="L45" s="46"/>
      <c r="M45" s="46"/>
      <c r="N45" s="46" t="s">
        <v>724</v>
      </c>
      <c r="O45" s="46"/>
      <c r="P45" s="46"/>
      <c r="Q45" s="46"/>
      <c r="R45" s="46"/>
      <c r="S45" s="46"/>
      <c r="T45" s="46" t="s">
        <v>726</v>
      </c>
      <c r="U45" s="46"/>
      <c r="V45" s="46"/>
      <c r="W45" s="46"/>
      <c r="X45" s="46"/>
    </row>
    <row r="46" spans="1:24" x14ac:dyDescent="0.25">
      <c r="A46" s="46"/>
      <c r="B46" s="46"/>
      <c r="C46" s="46"/>
      <c r="D46" s="46"/>
      <c r="E46" s="46"/>
      <c r="F46" s="46"/>
      <c r="G46" s="46"/>
      <c r="H46" s="46"/>
      <c r="I46" s="46" t="s">
        <v>728</v>
      </c>
      <c r="J46" s="46"/>
      <c r="K46" s="46"/>
      <c r="L46" s="46"/>
      <c r="M46" s="46"/>
      <c r="N46" s="46" t="s">
        <v>729</v>
      </c>
      <c r="O46" s="46"/>
      <c r="P46" s="46"/>
      <c r="Q46" s="46"/>
      <c r="R46" s="46"/>
      <c r="S46" s="46"/>
      <c r="T46" s="46" t="s">
        <v>731</v>
      </c>
      <c r="U46" s="46"/>
      <c r="V46" s="46"/>
      <c r="W46" s="46"/>
      <c r="X46" s="46"/>
    </row>
    <row r="47" spans="1:24" x14ac:dyDescent="0.25">
      <c r="A47" s="46"/>
      <c r="B47" s="46"/>
      <c r="C47" s="46"/>
      <c r="D47" s="46"/>
      <c r="E47" s="46"/>
      <c r="F47" s="46"/>
      <c r="G47" s="46"/>
      <c r="H47" s="46"/>
      <c r="I47" s="46" t="s">
        <v>733</v>
      </c>
      <c r="J47" s="46"/>
      <c r="K47" s="46"/>
      <c r="L47" s="46"/>
      <c r="M47" s="46"/>
      <c r="N47" s="46" t="s">
        <v>734</v>
      </c>
      <c r="O47" s="46"/>
      <c r="P47" s="46"/>
      <c r="Q47" s="46"/>
      <c r="R47" s="46"/>
      <c r="S47" s="46"/>
      <c r="T47" s="46" t="s">
        <v>736</v>
      </c>
      <c r="U47" s="46"/>
      <c r="V47" s="46"/>
      <c r="W47" s="46"/>
      <c r="X47" s="46"/>
    </row>
    <row r="48" spans="1:24" x14ac:dyDescent="0.25">
      <c r="A48" s="46"/>
      <c r="B48" s="46"/>
      <c r="C48" s="46"/>
      <c r="D48" s="46"/>
      <c r="E48" s="46"/>
      <c r="F48" s="46"/>
      <c r="G48" s="46"/>
      <c r="H48" s="46"/>
      <c r="I48" s="46" t="s">
        <v>738</v>
      </c>
      <c r="J48" s="46"/>
      <c r="K48" s="46"/>
      <c r="L48" s="46"/>
      <c r="M48" s="46"/>
      <c r="N48" s="46" t="s">
        <v>739</v>
      </c>
      <c r="O48" s="46"/>
      <c r="P48" s="46"/>
      <c r="Q48" s="46"/>
      <c r="R48" s="46"/>
      <c r="S48" s="46"/>
      <c r="T48" s="46" t="s">
        <v>741</v>
      </c>
      <c r="U48" s="46"/>
      <c r="V48" s="46"/>
      <c r="W48" s="46"/>
      <c r="X48" s="46"/>
    </row>
    <row r="49" spans="1:24" x14ac:dyDescent="0.25">
      <c r="A49" s="46"/>
      <c r="B49" s="46"/>
      <c r="C49" s="46"/>
      <c r="D49" s="46"/>
      <c r="E49" s="46"/>
      <c r="F49" s="46"/>
      <c r="G49" s="46"/>
      <c r="H49" s="46"/>
      <c r="I49" s="46" t="s">
        <v>742</v>
      </c>
      <c r="J49" s="46"/>
      <c r="K49" s="46"/>
      <c r="L49" s="46"/>
      <c r="M49" s="46"/>
      <c r="N49" s="46" t="s">
        <v>743</v>
      </c>
      <c r="O49" s="46"/>
      <c r="P49" s="46"/>
      <c r="Q49" s="46"/>
      <c r="R49" s="46"/>
      <c r="S49" s="46"/>
      <c r="T49" s="46" t="s">
        <v>579</v>
      </c>
      <c r="U49" s="46"/>
      <c r="V49" s="46"/>
      <c r="W49" s="46"/>
      <c r="X49" s="46"/>
    </row>
    <row r="50" spans="1:24" x14ac:dyDescent="0.25">
      <c r="A50" s="46"/>
      <c r="B50" s="46"/>
      <c r="C50" s="46"/>
      <c r="D50" s="46"/>
      <c r="E50" s="46"/>
      <c r="F50" s="46"/>
      <c r="G50" s="46"/>
      <c r="H50" s="46"/>
      <c r="I50" s="46" t="s">
        <v>746</v>
      </c>
      <c r="J50" s="46"/>
      <c r="K50" s="46"/>
      <c r="L50" s="46"/>
      <c r="M50" s="46"/>
      <c r="N50" s="46" t="s">
        <v>747</v>
      </c>
      <c r="O50" s="46"/>
      <c r="P50" s="46"/>
      <c r="Q50" s="46"/>
      <c r="R50" s="46"/>
      <c r="S50" s="46"/>
      <c r="T50" s="46" t="s">
        <v>749</v>
      </c>
      <c r="U50" s="46"/>
      <c r="V50" s="46"/>
      <c r="W50" s="46"/>
      <c r="X50" s="46"/>
    </row>
    <row r="51" spans="1:24" x14ac:dyDescent="0.25">
      <c r="A51" s="46"/>
      <c r="B51" s="46"/>
      <c r="C51" s="46"/>
      <c r="D51" s="46"/>
      <c r="E51" s="46"/>
      <c r="F51" s="46"/>
      <c r="G51" s="46"/>
      <c r="H51" s="46"/>
      <c r="I51" s="46" t="s">
        <v>751</v>
      </c>
      <c r="J51" s="46"/>
      <c r="K51" s="46"/>
      <c r="L51" s="46"/>
      <c r="M51" s="46"/>
      <c r="N51" s="46" t="s">
        <v>752</v>
      </c>
      <c r="O51" s="46"/>
      <c r="P51" s="46"/>
      <c r="Q51" s="46"/>
      <c r="R51" s="46"/>
      <c r="S51" s="46"/>
      <c r="T51" s="46" t="s">
        <v>754</v>
      </c>
      <c r="U51" s="46"/>
      <c r="V51" s="46"/>
      <c r="W51" s="46"/>
      <c r="X51" s="46"/>
    </row>
    <row r="52" spans="1:24" x14ac:dyDescent="0.25">
      <c r="A52" s="46"/>
      <c r="B52" s="46"/>
      <c r="C52" s="46"/>
      <c r="D52" s="46"/>
      <c r="E52" s="46"/>
      <c r="F52" s="46"/>
      <c r="G52" s="46"/>
      <c r="H52" s="46"/>
      <c r="I52" s="46" t="s">
        <v>644</v>
      </c>
      <c r="J52" s="46"/>
      <c r="K52" s="46"/>
      <c r="L52" s="46"/>
      <c r="M52" s="46"/>
      <c r="N52" s="46" t="s">
        <v>756</v>
      </c>
      <c r="O52" s="46"/>
      <c r="P52" s="46"/>
      <c r="Q52" s="46"/>
      <c r="R52" s="46"/>
      <c r="S52" s="46"/>
      <c r="T52" s="46" t="s">
        <v>758</v>
      </c>
      <c r="U52" s="46"/>
      <c r="V52" s="46"/>
      <c r="W52" s="46"/>
      <c r="X52" s="46"/>
    </row>
    <row r="53" spans="1:24" x14ac:dyDescent="0.25">
      <c r="A53" s="46"/>
      <c r="B53" s="46"/>
      <c r="C53" s="46"/>
      <c r="D53" s="46"/>
      <c r="E53" s="46"/>
      <c r="F53" s="46"/>
      <c r="G53" s="46"/>
      <c r="H53" s="46"/>
      <c r="I53" s="46" t="s">
        <v>624</v>
      </c>
      <c r="J53" s="46"/>
      <c r="K53" s="46"/>
      <c r="L53" s="46"/>
      <c r="M53" s="46"/>
      <c r="N53" s="46" t="s">
        <v>760</v>
      </c>
      <c r="O53" s="46"/>
      <c r="P53" s="46"/>
      <c r="Q53" s="46"/>
      <c r="R53" s="46"/>
      <c r="S53" s="46"/>
      <c r="T53" s="46" t="s">
        <v>762</v>
      </c>
      <c r="U53" s="46"/>
      <c r="V53" s="46"/>
      <c r="W53" s="46"/>
      <c r="X53" s="46"/>
    </row>
    <row r="54" spans="1:24" x14ac:dyDescent="0.25">
      <c r="A54" s="46"/>
      <c r="B54" s="46"/>
      <c r="C54" s="46"/>
      <c r="D54" s="46"/>
      <c r="E54" s="46"/>
      <c r="F54" s="46"/>
      <c r="G54" s="46"/>
      <c r="H54" s="46"/>
      <c r="I54" s="46" t="s">
        <v>764</v>
      </c>
      <c r="J54" s="46"/>
      <c r="K54" s="46"/>
      <c r="L54" s="46"/>
      <c r="M54" s="46"/>
      <c r="N54" s="46" t="s">
        <v>765</v>
      </c>
      <c r="O54" s="46"/>
      <c r="P54" s="46"/>
      <c r="Q54" s="46"/>
      <c r="R54" s="46"/>
      <c r="S54" s="46"/>
      <c r="T54" s="46" t="s">
        <v>767</v>
      </c>
      <c r="U54" s="46"/>
      <c r="V54" s="46"/>
      <c r="W54" s="46"/>
      <c r="X54" s="46"/>
    </row>
    <row r="55" spans="1:24" x14ac:dyDescent="0.25">
      <c r="A55" s="46"/>
      <c r="B55" s="46"/>
      <c r="C55" s="46"/>
      <c r="D55" s="46"/>
      <c r="E55" s="46"/>
      <c r="F55" s="46"/>
      <c r="G55" s="46"/>
      <c r="H55" s="46"/>
      <c r="I55" s="46" t="s">
        <v>768</v>
      </c>
      <c r="J55" s="46"/>
      <c r="K55" s="46"/>
      <c r="L55" s="46"/>
      <c r="M55" s="46"/>
      <c r="N55" s="46" t="s">
        <v>769</v>
      </c>
      <c r="O55" s="46"/>
      <c r="P55" s="46"/>
      <c r="Q55" s="46"/>
      <c r="R55" s="46"/>
      <c r="S55" s="46"/>
      <c r="T55" s="46" t="s">
        <v>771</v>
      </c>
      <c r="U55" s="46"/>
      <c r="V55" s="46"/>
      <c r="W55" s="46"/>
      <c r="X55" s="46"/>
    </row>
    <row r="56" spans="1:24" x14ac:dyDescent="0.25">
      <c r="A56" s="46"/>
      <c r="B56" s="46"/>
      <c r="C56" s="46"/>
      <c r="D56" s="46"/>
      <c r="E56" s="46"/>
      <c r="F56" s="46"/>
      <c r="G56" s="46"/>
      <c r="H56" s="46"/>
      <c r="I56" s="46" t="s">
        <v>410</v>
      </c>
      <c r="J56" s="46"/>
      <c r="K56" s="46"/>
      <c r="L56" s="46"/>
      <c r="M56" s="46"/>
      <c r="N56" s="46" t="s">
        <v>773</v>
      </c>
      <c r="O56" s="46"/>
      <c r="P56" s="46"/>
      <c r="Q56" s="46"/>
      <c r="R56" s="46"/>
      <c r="S56" s="46"/>
      <c r="T56" s="46" t="s">
        <v>775</v>
      </c>
      <c r="U56" s="46"/>
      <c r="V56" s="46"/>
      <c r="W56" s="46"/>
      <c r="X56" s="46"/>
    </row>
    <row r="57" spans="1:24" x14ac:dyDescent="0.25">
      <c r="A57" s="46"/>
      <c r="B57" s="46"/>
      <c r="C57" s="46"/>
      <c r="D57" s="46"/>
      <c r="E57" s="46"/>
      <c r="F57" s="46"/>
      <c r="G57" s="46"/>
      <c r="H57" s="46"/>
      <c r="I57" s="46" t="s">
        <v>777</v>
      </c>
      <c r="J57" s="46"/>
      <c r="K57" s="46"/>
      <c r="L57" s="46"/>
      <c r="M57" s="46"/>
      <c r="N57" s="46" t="s">
        <v>778</v>
      </c>
      <c r="O57" s="46"/>
      <c r="P57" s="46"/>
      <c r="Q57" s="46"/>
      <c r="R57" s="46"/>
      <c r="S57" s="46"/>
      <c r="T57" s="46" t="s">
        <v>780</v>
      </c>
      <c r="U57" s="46"/>
      <c r="V57" s="46"/>
      <c r="W57" s="46"/>
      <c r="X57" s="46"/>
    </row>
    <row r="58" spans="1:24" x14ac:dyDescent="0.25">
      <c r="A58" s="46"/>
      <c r="B58" s="46"/>
      <c r="C58" s="46"/>
      <c r="D58" s="46"/>
      <c r="E58" s="46"/>
      <c r="F58" s="46"/>
      <c r="G58" s="46"/>
      <c r="H58" s="46"/>
      <c r="I58" s="46" t="s">
        <v>781</v>
      </c>
      <c r="J58" s="46"/>
      <c r="K58" s="46"/>
      <c r="L58" s="46"/>
      <c r="M58" s="46"/>
      <c r="N58" s="46" t="s">
        <v>782</v>
      </c>
      <c r="O58" s="46"/>
      <c r="P58" s="46"/>
      <c r="Q58" s="46"/>
      <c r="R58" s="46"/>
      <c r="S58" s="46"/>
      <c r="T58" s="46" t="s">
        <v>784</v>
      </c>
      <c r="U58" s="46"/>
      <c r="V58" s="46"/>
      <c r="W58" s="46"/>
      <c r="X58" s="46"/>
    </row>
    <row r="59" spans="1:24" x14ac:dyDescent="0.25">
      <c r="A59" s="46"/>
      <c r="B59" s="46"/>
      <c r="C59" s="46"/>
      <c r="D59" s="46"/>
      <c r="E59" s="46"/>
      <c r="F59" s="46"/>
      <c r="G59" s="46"/>
      <c r="H59" s="46"/>
      <c r="I59" s="46" t="s">
        <v>786</v>
      </c>
      <c r="J59" s="46"/>
      <c r="K59" s="46"/>
      <c r="L59" s="46"/>
      <c r="M59" s="46"/>
      <c r="N59" s="46" t="s">
        <v>787</v>
      </c>
      <c r="O59" s="46"/>
      <c r="P59" s="46"/>
      <c r="Q59" s="46"/>
      <c r="R59" s="46"/>
      <c r="S59" s="46"/>
      <c r="T59" s="46" t="s">
        <v>789</v>
      </c>
      <c r="U59" s="46"/>
      <c r="V59" s="46"/>
      <c r="W59" s="46"/>
      <c r="X59" s="46"/>
    </row>
    <row r="60" spans="1:24" x14ac:dyDescent="0.25">
      <c r="A60" s="46"/>
      <c r="B60" s="46"/>
      <c r="C60" s="46"/>
      <c r="D60" s="46"/>
      <c r="E60" s="46"/>
      <c r="F60" s="46"/>
      <c r="G60" s="46"/>
      <c r="H60" s="46"/>
      <c r="I60" s="46" t="s">
        <v>791</v>
      </c>
      <c r="J60" s="46"/>
      <c r="K60" s="46"/>
      <c r="L60" s="46"/>
      <c r="M60" s="46"/>
      <c r="N60" s="46" t="s">
        <v>792</v>
      </c>
      <c r="O60" s="46"/>
      <c r="P60" s="46"/>
      <c r="Q60" s="46"/>
      <c r="R60" s="46"/>
      <c r="S60" s="46"/>
      <c r="T60" s="46" t="s">
        <v>794</v>
      </c>
      <c r="U60" s="46"/>
      <c r="V60" s="46"/>
      <c r="W60" s="46"/>
      <c r="X60" s="46"/>
    </row>
    <row r="61" spans="1:24" x14ac:dyDescent="0.25">
      <c r="A61" s="46"/>
      <c r="B61" s="46"/>
      <c r="C61" s="46"/>
      <c r="D61" s="46"/>
      <c r="E61" s="46"/>
      <c r="F61" s="46"/>
      <c r="G61" s="46"/>
      <c r="H61" s="46"/>
      <c r="I61" s="46" t="s">
        <v>434</v>
      </c>
      <c r="J61" s="46"/>
      <c r="K61" s="46"/>
      <c r="L61" s="46"/>
      <c r="M61" s="46"/>
      <c r="N61" s="46" t="s">
        <v>795</v>
      </c>
      <c r="O61" s="46"/>
      <c r="P61" s="46"/>
      <c r="Q61" s="46"/>
      <c r="R61" s="46"/>
      <c r="S61" s="46"/>
      <c r="T61" s="46" t="s">
        <v>797</v>
      </c>
      <c r="U61" s="46"/>
      <c r="V61" s="46"/>
      <c r="W61" s="46"/>
      <c r="X61" s="46"/>
    </row>
    <row r="62" spans="1:24" x14ac:dyDescent="0.25">
      <c r="A62" s="46"/>
      <c r="B62" s="46"/>
      <c r="C62" s="46"/>
      <c r="D62" s="46"/>
      <c r="E62" s="46"/>
      <c r="F62" s="46"/>
      <c r="G62" s="46"/>
      <c r="H62" s="46"/>
      <c r="I62" s="46" t="s">
        <v>799</v>
      </c>
      <c r="J62" s="46"/>
      <c r="K62" s="46"/>
      <c r="L62" s="46"/>
      <c r="M62" s="46"/>
      <c r="N62" s="46" t="s">
        <v>800</v>
      </c>
      <c r="O62" s="46"/>
      <c r="P62" s="46"/>
      <c r="Q62" s="46"/>
      <c r="R62" s="46"/>
      <c r="S62" s="46"/>
      <c r="T62" s="46" t="s">
        <v>802</v>
      </c>
      <c r="U62" s="46"/>
      <c r="V62" s="46"/>
      <c r="W62" s="46"/>
      <c r="X62" s="46"/>
    </row>
    <row r="63" spans="1:24" x14ac:dyDescent="0.25">
      <c r="A63" s="46"/>
      <c r="B63" s="46"/>
      <c r="C63" s="46"/>
      <c r="D63" s="46"/>
      <c r="E63" s="46"/>
      <c r="F63" s="46"/>
      <c r="G63" s="46"/>
      <c r="H63" s="46"/>
      <c r="I63" s="46" t="s">
        <v>804</v>
      </c>
      <c r="J63" s="46"/>
      <c r="K63" s="46"/>
      <c r="L63" s="46"/>
      <c r="M63" s="46"/>
      <c r="N63" s="46" t="s">
        <v>805</v>
      </c>
      <c r="O63" s="46"/>
      <c r="P63" s="46"/>
      <c r="Q63" s="46"/>
      <c r="R63" s="46"/>
      <c r="S63" s="46"/>
      <c r="T63" s="46" t="s">
        <v>807</v>
      </c>
      <c r="U63" s="46"/>
      <c r="V63" s="46"/>
      <c r="W63" s="46"/>
      <c r="X63" s="46"/>
    </row>
    <row r="64" spans="1:24" x14ac:dyDescent="0.25">
      <c r="A64" s="46"/>
      <c r="B64" s="46"/>
      <c r="C64" s="46"/>
      <c r="D64" s="46"/>
      <c r="E64" s="46"/>
      <c r="F64" s="46"/>
      <c r="G64" s="46"/>
      <c r="H64" s="46"/>
      <c r="I64" s="46" t="s">
        <v>808</v>
      </c>
      <c r="J64" s="46"/>
      <c r="K64" s="46"/>
      <c r="L64" s="46"/>
      <c r="M64" s="46"/>
      <c r="N64" s="46" t="s">
        <v>809</v>
      </c>
      <c r="O64" s="46"/>
      <c r="P64" s="46"/>
      <c r="Q64" s="46"/>
      <c r="R64" s="46"/>
      <c r="S64" s="46"/>
      <c r="T64" s="46" t="s">
        <v>811</v>
      </c>
      <c r="U64" s="46"/>
      <c r="V64" s="46"/>
      <c r="W64" s="46"/>
      <c r="X64" s="46"/>
    </row>
    <row r="65" spans="1:24" x14ac:dyDescent="0.25">
      <c r="A65" s="46"/>
      <c r="B65" s="46"/>
      <c r="C65" s="46"/>
      <c r="D65" s="46"/>
      <c r="E65" s="46"/>
      <c r="F65" s="46"/>
      <c r="G65" s="46"/>
      <c r="H65" s="46"/>
      <c r="I65" s="46" t="s">
        <v>41</v>
      </c>
      <c r="J65" s="46"/>
      <c r="K65" s="46"/>
      <c r="L65" s="46"/>
      <c r="M65" s="46"/>
      <c r="N65" s="46" t="s">
        <v>812</v>
      </c>
      <c r="O65" s="46"/>
      <c r="P65" s="46"/>
      <c r="Q65" s="46"/>
      <c r="R65" s="46"/>
      <c r="S65" s="46"/>
      <c r="T65" s="46" t="s">
        <v>814</v>
      </c>
      <c r="U65" s="46"/>
      <c r="V65" s="46"/>
      <c r="W65" s="46"/>
      <c r="X65" s="46"/>
    </row>
    <row r="66" spans="1:24" x14ac:dyDescent="0.25">
      <c r="A66" s="46"/>
      <c r="B66" s="46"/>
      <c r="C66" s="46"/>
      <c r="D66" s="46"/>
      <c r="E66" s="46"/>
      <c r="F66" s="46"/>
      <c r="G66" s="46"/>
      <c r="H66" s="46"/>
      <c r="I66" s="46" t="s">
        <v>816</v>
      </c>
      <c r="J66" s="46"/>
      <c r="K66" s="46"/>
      <c r="L66" s="46"/>
      <c r="M66" s="46"/>
      <c r="N66" s="46" t="s">
        <v>817</v>
      </c>
      <c r="O66" s="46"/>
      <c r="P66" s="46"/>
      <c r="Q66" s="46"/>
      <c r="R66" s="46"/>
      <c r="S66" s="46"/>
      <c r="T66" s="46" t="s">
        <v>819</v>
      </c>
      <c r="U66" s="46"/>
      <c r="V66" s="46"/>
      <c r="W66" s="46"/>
      <c r="X66" s="46"/>
    </row>
    <row r="67" spans="1:24" x14ac:dyDescent="0.25">
      <c r="A67" s="46"/>
      <c r="B67" s="46"/>
      <c r="C67" s="46"/>
      <c r="D67" s="46"/>
      <c r="E67" s="46"/>
      <c r="F67" s="46"/>
      <c r="G67" s="46"/>
      <c r="H67" s="46"/>
      <c r="I67" s="46" t="s">
        <v>454</v>
      </c>
      <c r="J67" s="46"/>
      <c r="K67" s="46"/>
      <c r="L67" s="46"/>
      <c r="M67" s="46"/>
      <c r="N67" s="46" t="s">
        <v>821</v>
      </c>
      <c r="O67" s="46"/>
      <c r="P67" s="46"/>
      <c r="Q67" s="46"/>
      <c r="R67" s="46"/>
      <c r="S67" s="46"/>
      <c r="T67" s="46"/>
      <c r="U67" s="46"/>
      <c r="V67" s="46"/>
      <c r="W67" s="46"/>
      <c r="X67" s="46"/>
    </row>
    <row r="68" spans="1:24" x14ac:dyDescent="0.25">
      <c r="A68" s="46"/>
      <c r="B68" s="46"/>
      <c r="C68" s="46"/>
      <c r="D68" s="46"/>
      <c r="E68" s="46"/>
      <c r="F68" s="46"/>
      <c r="G68" s="46"/>
      <c r="H68" s="46"/>
      <c r="I68" s="46" t="s">
        <v>824</v>
      </c>
      <c r="J68" s="46"/>
      <c r="K68" s="46"/>
      <c r="L68" s="46"/>
      <c r="M68" s="46"/>
      <c r="N68" s="46" t="s">
        <v>825</v>
      </c>
      <c r="O68" s="46"/>
      <c r="P68" s="46"/>
      <c r="Q68" s="46"/>
      <c r="R68" s="46"/>
      <c r="S68" s="46"/>
      <c r="T68" s="46"/>
      <c r="U68" s="46"/>
      <c r="V68" s="46"/>
      <c r="W68" s="46"/>
      <c r="X68" s="46"/>
    </row>
    <row r="69" spans="1:24" x14ac:dyDescent="0.25">
      <c r="A69" s="46"/>
      <c r="B69" s="46"/>
      <c r="C69" s="46"/>
      <c r="D69" s="46"/>
      <c r="E69" s="46"/>
      <c r="F69" s="46"/>
      <c r="G69" s="46"/>
      <c r="H69" s="46"/>
      <c r="I69" s="46" t="s">
        <v>827</v>
      </c>
      <c r="J69" s="46"/>
      <c r="K69" s="46"/>
      <c r="L69" s="46"/>
      <c r="M69" s="46"/>
      <c r="N69" s="46" t="s">
        <v>828</v>
      </c>
      <c r="O69" s="46"/>
      <c r="P69" s="46"/>
      <c r="Q69" s="46"/>
      <c r="R69" s="46"/>
      <c r="S69" s="46"/>
      <c r="T69" s="46"/>
      <c r="U69" s="46"/>
      <c r="V69" s="46"/>
      <c r="W69" s="46"/>
      <c r="X69" s="46"/>
    </row>
    <row r="70" spans="1:24" x14ac:dyDescent="0.25">
      <c r="A70" s="46"/>
      <c r="B70" s="46"/>
      <c r="C70" s="46"/>
      <c r="D70" s="46"/>
      <c r="E70" s="46"/>
      <c r="F70" s="46"/>
      <c r="G70" s="46"/>
      <c r="H70" s="46"/>
      <c r="I70" s="46" t="s">
        <v>830</v>
      </c>
      <c r="J70" s="46"/>
      <c r="K70" s="46"/>
      <c r="L70" s="46"/>
      <c r="M70" s="46"/>
      <c r="N70" s="46" t="s">
        <v>831</v>
      </c>
      <c r="O70" s="46"/>
      <c r="P70" s="46"/>
      <c r="Q70" s="46"/>
      <c r="R70" s="46"/>
      <c r="S70" s="46"/>
      <c r="T70" s="46"/>
      <c r="U70" s="46"/>
      <c r="V70" s="46"/>
      <c r="W70" s="46"/>
      <c r="X70" s="46"/>
    </row>
    <row r="71" spans="1:24" x14ac:dyDescent="0.25">
      <c r="A71" s="46"/>
      <c r="B71" s="46"/>
      <c r="C71" s="46"/>
      <c r="D71" s="46"/>
      <c r="E71" s="46"/>
      <c r="F71" s="46"/>
      <c r="G71" s="46"/>
      <c r="H71" s="46"/>
      <c r="I71" s="46" t="s">
        <v>833</v>
      </c>
      <c r="J71" s="46"/>
      <c r="K71" s="46"/>
      <c r="L71" s="46"/>
      <c r="M71" s="46"/>
      <c r="N71" s="46" t="s">
        <v>834</v>
      </c>
      <c r="O71" s="46"/>
      <c r="P71" s="46"/>
      <c r="Q71" s="46"/>
      <c r="R71" s="46"/>
      <c r="S71" s="46"/>
      <c r="T71" s="46"/>
      <c r="U71" s="46"/>
      <c r="V71" s="46"/>
      <c r="W71" s="46"/>
      <c r="X71" s="46"/>
    </row>
    <row r="72" spans="1:24" x14ac:dyDescent="0.25">
      <c r="A72" s="46"/>
      <c r="B72" s="46"/>
      <c r="C72" s="46"/>
      <c r="D72" s="46"/>
      <c r="E72" s="46"/>
      <c r="F72" s="46"/>
      <c r="G72" s="46"/>
      <c r="H72" s="46"/>
      <c r="I72" s="46" t="s">
        <v>474</v>
      </c>
      <c r="J72" s="46"/>
      <c r="K72" s="46"/>
      <c r="L72" s="46"/>
      <c r="M72" s="46"/>
      <c r="N72" s="46" t="s">
        <v>836</v>
      </c>
      <c r="O72" s="46"/>
      <c r="P72" s="46"/>
      <c r="Q72" s="46"/>
      <c r="R72" s="46"/>
      <c r="S72" s="46"/>
      <c r="T72" s="46"/>
      <c r="U72" s="46"/>
      <c r="V72" s="46"/>
      <c r="W72" s="46"/>
      <c r="X72" s="46"/>
    </row>
    <row r="73" spans="1:24" x14ac:dyDescent="0.25">
      <c r="A73" s="46"/>
      <c r="B73" s="46"/>
      <c r="C73" s="46"/>
      <c r="D73" s="46"/>
      <c r="E73" s="46"/>
      <c r="F73" s="46"/>
      <c r="G73" s="46"/>
      <c r="H73" s="46"/>
      <c r="I73" s="46" t="s">
        <v>837</v>
      </c>
      <c r="J73" s="46"/>
      <c r="K73" s="46"/>
      <c r="L73" s="46"/>
      <c r="M73" s="46"/>
      <c r="N73" s="46" t="s">
        <v>838</v>
      </c>
      <c r="O73" s="46"/>
      <c r="P73" s="46"/>
      <c r="Q73" s="46"/>
      <c r="R73" s="46"/>
      <c r="S73" s="46"/>
      <c r="T73" s="46"/>
      <c r="U73" s="46"/>
      <c r="V73" s="46"/>
      <c r="W73" s="46"/>
      <c r="X73" s="46"/>
    </row>
    <row r="74" spans="1:24" x14ac:dyDescent="0.25">
      <c r="A74" s="46"/>
      <c r="B74" s="46"/>
      <c r="C74" s="46"/>
      <c r="D74" s="46"/>
      <c r="E74" s="46"/>
      <c r="F74" s="46"/>
      <c r="G74" s="46"/>
      <c r="H74" s="46"/>
      <c r="I74" s="46" t="s">
        <v>637</v>
      </c>
      <c r="J74" s="46"/>
      <c r="K74" s="46"/>
      <c r="L74" s="46"/>
      <c r="M74" s="46"/>
      <c r="N74" s="46" t="s">
        <v>840</v>
      </c>
      <c r="O74" s="46"/>
      <c r="P74" s="46"/>
      <c r="Q74" s="46"/>
      <c r="R74" s="46"/>
      <c r="S74" s="46"/>
      <c r="T74" s="46"/>
      <c r="U74" s="46"/>
      <c r="V74" s="46"/>
      <c r="W74" s="46"/>
      <c r="X74" s="46"/>
    </row>
    <row r="75" spans="1:24" x14ac:dyDescent="0.25">
      <c r="A75" s="46"/>
      <c r="B75" s="46"/>
      <c r="C75" s="46"/>
      <c r="D75" s="46"/>
      <c r="E75" s="46"/>
      <c r="F75" s="46"/>
      <c r="G75" s="46"/>
      <c r="H75" s="46"/>
      <c r="I75" s="46" t="s">
        <v>841</v>
      </c>
      <c r="J75" s="46"/>
      <c r="K75" s="46"/>
      <c r="L75" s="46"/>
      <c r="M75" s="46"/>
      <c r="N75" s="46" t="s">
        <v>842</v>
      </c>
      <c r="O75" s="46"/>
      <c r="P75" s="46"/>
      <c r="Q75" s="46"/>
      <c r="R75" s="46"/>
      <c r="S75" s="46"/>
      <c r="T75" s="46"/>
      <c r="U75" s="46"/>
      <c r="V75" s="46"/>
      <c r="W75" s="46"/>
      <c r="X75" s="46"/>
    </row>
    <row r="76" spans="1:24" x14ac:dyDescent="0.25">
      <c r="A76" s="46"/>
      <c r="B76" s="46"/>
      <c r="C76" s="46"/>
      <c r="D76" s="46"/>
      <c r="E76" s="46"/>
      <c r="F76" s="46"/>
      <c r="G76" s="46"/>
      <c r="H76" s="46"/>
      <c r="I76" s="46" t="s">
        <v>843</v>
      </c>
      <c r="J76" s="46"/>
      <c r="K76" s="46"/>
      <c r="L76" s="46"/>
      <c r="M76" s="46"/>
      <c r="N76" s="46" t="s">
        <v>844</v>
      </c>
      <c r="O76" s="46"/>
      <c r="P76" s="46"/>
      <c r="Q76" s="46"/>
      <c r="R76" s="46"/>
      <c r="S76" s="46"/>
      <c r="T76" s="46"/>
      <c r="U76" s="46"/>
      <c r="V76" s="46"/>
      <c r="W76" s="46"/>
      <c r="X76" s="46"/>
    </row>
    <row r="77" spans="1:24" x14ac:dyDescent="0.25">
      <c r="A77" s="46"/>
      <c r="B77" s="46"/>
      <c r="C77" s="46"/>
      <c r="D77" s="46"/>
      <c r="E77" s="46"/>
      <c r="F77" s="46"/>
      <c r="G77" s="46"/>
      <c r="H77" s="46"/>
      <c r="I77" s="46" t="s">
        <v>846</v>
      </c>
      <c r="J77" s="46"/>
      <c r="K77" s="46"/>
      <c r="L77" s="46"/>
      <c r="M77" s="46"/>
      <c r="N77" s="46" t="s">
        <v>847</v>
      </c>
      <c r="O77" s="46"/>
      <c r="P77" s="46"/>
      <c r="Q77" s="46"/>
      <c r="R77" s="46"/>
      <c r="S77" s="46"/>
      <c r="T77" s="46"/>
      <c r="U77" s="46"/>
      <c r="V77" s="46"/>
      <c r="W77" s="46"/>
      <c r="X77" s="46"/>
    </row>
    <row r="78" spans="1:24" x14ac:dyDescent="0.25">
      <c r="A78" s="46"/>
      <c r="B78" s="46"/>
      <c r="C78" s="46"/>
      <c r="D78" s="46"/>
      <c r="E78" s="46"/>
      <c r="F78" s="46"/>
      <c r="G78" s="46"/>
      <c r="H78" s="46"/>
      <c r="I78" s="46" t="s">
        <v>848</v>
      </c>
      <c r="J78" s="46"/>
      <c r="K78" s="46"/>
      <c r="L78" s="46"/>
      <c r="M78" s="46"/>
      <c r="N78" s="46" t="s">
        <v>849</v>
      </c>
      <c r="O78" s="46"/>
      <c r="P78" s="46"/>
      <c r="Q78" s="46"/>
      <c r="R78" s="46"/>
      <c r="S78" s="46"/>
      <c r="T78" s="46"/>
      <c r="U78" s="46"/>
      <c r="V78" s="46"/>
      <c r="W78" s="46"/>
      <c r="X78" s="46"/>
    </row>
    <row r="79" spans="1:24" x14ac:dyDescent="0.25">
      <c r="A79" s="46"/>
      <c r="B79" s="46"/>
      <c r="C79" s="46"/>
      <c r="D79" s="46"/>
      <c r="E79" s="46"/>
      <c r="F79" s="46"/>
      <c r="G79" s="46"/>
      <c r="H79" s="46"/>
      <c r="I79" s="46" t="s">
        <v>850</v>
      </c>
      <c r="J79" s="46"/>
      <c r="K79" s="46"/>
      <c r="L79" s="46"/>
      <c r="M79" s="46"/>
      <c r="N79" s="46" t="s">
        <v>851</v>
      </c>
      <c r="O79" s="46"/>
      <c r="P79" s="46"/>
      <c r="Q79" s="46"/>
      <c r="R79" s="46"/>
      <c r="S79" s="46"/>
      <c r="T79" s="46"/>
      <c r="U79" s="46"/>
      <c r="V79" s="46"/>
      <c r="W79" s="46"/>
      <c r="X79" s="46"/>
    </row>
    <row r="80" spans="1:24" x14ac:dyDescent="0.25">
      <c r="A80" s="46"/>
      <c r="B80" s="46"/>
      <c r="C80" s="46"/>
      <c r="D80" s="46"/>
      <c r="E80" s="46"/>
      <c r="F80" s="46"/>
      <c r="G80" s="46"/>
      <c r="H80" s="46"/>
      <c r="I80" s="46" t="s">
        <v>853</v>
      </c>
      <c r="J80" s="46"/>
      <c r="K80" s="46"/>
      <c r="L80" s="46"/>
      <c r="M80" s="46"/>
      <c r="N80" s="46" t="s">
        <v>854</v>
      </c>
      <c r="O80" s="46"/>
      <c r="P80" s="46"/>
      <c r="Q80" s="46"/>
      <c r="R80" s="46"/>
      <c r="S80" s="46"/>
      <c r="T80" s="46"/>
      <c r="U80" s="46"/>
      <c r="V80" s="46"/>
      <c r="W80" s="46"/>
      <c r="X80" s="46"/>
    </row>
    <row r="81" spans="1:24" x14ac:dyDescent="0.25">
      <c r="A81" s="46"/>
      <c r="B81" s="46"/>
      <c r="C81" s="46"/>
      <c r="D81" s="46"/>
      <c r="E81" s="46"/>
      <c r="F81" s="46"/>
      <c r="G81" s="46"/>
      <c r="H81" s="46"/>
      <c r="I81" s="46" t="s">
        <v>855</v>
      </c>
      <c r="J81" s="46"/>
      <c r="K81" s="46"/>
      <c r="L81" s="46"/>
      <c r="M81" s="46"/>
      <c r="N81" s="46" t="s">
        <v>856</v>
      </c>
      <c r="O81" s="46"/>
      <c r="P81" s="46"/>
      <c r="Q81" s="46"/>
      <c r="R81" s="46"/>
      <c r="S81" s="46"/>
      <c r="T81" s="46"/>
      <c r="U81" s="46"/>
      <c r="V81" s="46"/>
      <c r="W81" s="46"/>
      <c r="X81" s="46"/>
    </row>
    <row r="82" spans="1:24" x14ac:dyDescent="0.25">
      <c r="A82" s="46"/>
      <c r="B82" s="46"/>
      <c r="C82" s="46"/>
      <c r="D82" s="46"/>
      <c r="E82" s="46"/>
      <c r="F82" s="46"/>
      <c r="G82" s="46"/>
      <c r="H82" s="46"/>
      <c r="I82" s="46" t="s">
        <v>857</v>
      </c>
      <c r="J82" s="46"/>
      <c r="K82" s="46"/>
      <c r="L82" s="46"/>
      <c r="M82" s="46"/>
      <c r="N82" s="46" t="s">
        <v>858</v>
      </c>
      <c r="O82" s="46"/>
      <c r="P82" s="46"/>
      <c r="Q82" s="46"/>
      <c r="R82" s="46"/>
      <c r="S82" s="46"/>
      <c r="T82" s="46"/>
      <c r="U82" s="46"/>
      <c r="V82" s="46"/>
      <c r="W82" s="46"/>
      <c r="X82" s="46"/>
    </row>
    <row r="83" spans="1:24" x14ac:dyDescent="0.25">
      <c r="A83" s="46"/>
      <c r="B83" s="46"/>
      <c r="C83" s="46"/>
      <c r="D83" s="46"/>
      <c r="E83" s="46"/>
      <c r="F83" s="46"/>
      <c r="G83" s="46"/>
      <c r="H83" s="46"/>
      <c r="I83" s="46" t="s">
        <v>860</v>
      </c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</row>
    <row r="84" spans="1:24" x14ac:dyDescent="0.25">
      <c r="A84" s="46"/>
      <c r="B84" s="46"/>
      <c r="C84" s="46"/>
      <c r="D84" s="46"/>
      <c r="E84" s="46"/>
      <c r="F84" s="46"/>
      <c r="G84" s="46"/>
      <c r="H84" s="46"/>
      <c r="I84" s="46" t="s">
        <v>862</v>
      </c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</row>
    <row r="85" spans="1:24" x14ac:dyDescent="0.25">
      <c r="A85" s="46"/>
      <c r="B85" s="46"/>
      <c r="C85" s="46"/>
      <c r="D85" s="46"/>
      <c r="E85" s="46"/>
      <c r="F85" s="46"/>
      <c r="G85" s="46"/>
      <c r="H85" s="46"/>
      <c r="I85" s="46" t="s">
        <v>493</v>
      </c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</row>
    <row r="86" spans="1:24" x14ac:dyDescent="0.25">
      <c r="A86" s="46"/>
      <c r="B86" s="46"/>
      <c r="C86" s="46"/>
      <c r="D86" s="46"/>
      <c r="E86" s="46"/>
      <c r="F86" s="46"/>
      <c r="G86" s="46"/>
      <c r="H86" s="46"/>
      <c r="I86" s="46" t="s">
        <v>865</v>
      </c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</row>
    <row r="87" spans="1:24" x14ac:dyDescent="0.25">
      <c r="A87" s="46"/>
      <c r="B87" s="46"/>
      <c r="C87" s="46"/>
      <c r="D87" s="46"/>
      <c r="E87" s="46"/>
      <c r="F87" s="46"/>
      <c r="G87" s="46"/>
      <c r="H87" s="46"/>
      <c r="I87" s="46" t="s">
        <v>864</v>
      </c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</row>
    <row r="88" spans="1:24" x14ac:dyDescent="0.25">
      <c r="A88" s="46"/>
      <c r="B88" s="46"/>
      <c r="C88" s="46"/>
      <c r="D88" s="46"/>
      <c r="E88" s="46"/>
      <c r="F88" s="46"/>
      <c r="G88" s="46"/>
      <c r="H88" s="46"/>
      <c r="I88" s="46" t="s">
        <v>866</v>
      </c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</row>
    <row r="89" spans="1:24" x14ac:dyDescent="0.25">
      <c r="A89" s="46"/>
      <c r="B89" s="46"/>
      <c r="C89" s="46"/>
      <c r="D89" s="46"/>
      <c r="E89" s="46"/>
      <c r="F89" s="46"/>
      <c r="G89" s="46"/>
      <c r="H89" s="46"/>
      <c r="I89" s="46" t="s">
        <v>867</v>
      </c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</row>
    <row r="90" spans="1:24" x14ac:dyDescent="0.25">
      <c r="A90" s="46"/>
      <c r="B90" s="46"/>
      <c r="C90" s="46"/>
      <c r="D90" s="46"/>
      <c r="E90" s="46"/>
      <c r="F90" s="46"/>
      <c r="G90" s="46"/>
      <c r="H90" s="46"/>
      <c r="I90" s="46" t="s">
        <v>868</v>
      </c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</row>
    <row r="91" spans="1:24" x14ac:dyDescent="0.25">
      <c r="A91" s="46"/>
      <c r="B91" s="46"/>
      <c r="C91" s="46"/>
      <c r="D91" s="46"/>
      <c r="E91" s="46"/>
      <c r="F91" s="46"/>
      <c r="G91" s="46"/>
      <c r="H91" s="46"/>
      <c r="I91" s="46" t="s">
        <v>871</v>
      </c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</row>
    <row r="92" spans="1:24" x14ac:dyDescent="0.25">
      <c r="A92" s="46"/>
      <c r="B92" s="46"/>
      <c r="C92" s="46"/>
      <c r="D92" s="46"/>
      <c r="E92" s="46"/>
      <c r="F92" s="46"/>
      <c r="G92" s="46"/>
      <c r="H92" s="46"/>
      <c r="I92" s="46" t="s">
        <v>873</v>
      </c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</row>
    <row r="93" spans="1:24" x14ac:dyDescent="0.25">
      <c r="A93" s="46"/>
      <c r="B93" s="46"/>
      <c r="C93" s="46"/>
      <c r="D93" s="46"/>
      <c r="E93" s="46"/>
      <c r="F93" s="46"/>
      <c r="G93" s="46"/>
      <c r="H93" s="46"/>
      <c r="I93" s="46" t="s">
        <v>872</v>
      </c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</row>
    <row r="94" spans="1:24" x14ac:dyDescent="0.25">
      <c r="A94" s="46"/>
      <c r="B94" s="46"/>
      <c r="C94" s="46"/>
      <c r="D94" s="46"/>
      <c r="E94" s="46"/>
      <c r="F94" s="46"/>
      <c r="G94" s="46"/>
      <c r="H94" s="46"/>
      <c r="I94" s="46" t="s">
        <v>524</v>
      </c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</row>
    <row r="95" spans="1:24" x14ac:dyDescent="0.25">
      <c r="A95" s="46"/>
      <c r="B95" s="46"/>
      <c r="C95" s="46"/>
      <c r="D95" s="46"/>
      <c r="E95" s="46"/>
      <c r="F95" s="46"/>
      <c r="G95" s="46"/>
      <c r="H95" s="46"/>
      <c r="I95" s="46" t="s">
        <v>875</v>
      </c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</row>
    <row r="96" spans="1:24" x14ac:dyDescent="0.25">
      <c r="A96" s="46"/>
      <c r="B96" s="46"/>
      <c r="C96" s="46"/>
      <c r="D96" s="46"/>
      <c r="E96" s="46"/>
      <c r="F96" s="46"/>
      <c r="G96" s="46"/>
      <c r="H96" s="46"/>
      <c r="I96" s="46" t="s">
        <v>630</v>
      </c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</row>
    <row r="97" spans="1:24" x14ac:dyDescent="0.25">
      <c r="A97" s="46"/>
      <c r="B97" s="46"/>
      <c r="C97" s="46"/>
      <c r="D97" s="46"/>
      <c r="E97" s="46"/>
      <c r="F97" s="46"/>
      <c r="G97" s="46"/>
      <c r="H97" s="46"/>
      <c r="I97" s="46" t="s">
        <v>879</v>
      </c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</row>
    <row r="98" spans="1:24" x14ac:dyDescent="0.25">
      <c r="A98" s="46"/>
      <c r="B98" s="46"/>
      <c r="C98" s="46"/>
      <c r="D98" s="46"/>
      <c r="E98" s="46"/>
      <c r="F98" s="46"/>
      <c r="G98" s="46"/>
      <c r="H98" s="46"/>
      <c r="I98" s="46" t="s">
        <v>506</v>
      </c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</row>
    <row r="99" spans="1:24" x14ac:dyDescent="0.25">
      <c r="A99" s="46"/>
      <c r="B99" s="46"/>
      <c r="C99" s="46"/>
      <c r="D99" s="46"/>
      <c r="E99" s="46"/>
      <c r="F99" s="46"/>
      <c r="G99" s="46"/>
      <c r="H99" s="46"/>
      <c r="I99" s="46" t="s">
        <v>880</v>
      </c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</row>
    <row r="100" spans="1:24" x14ac:dyDescent="0.25">
      <c r="A100" s="46"/>
      <c r="B100" s="46"/>
      <c r="C100" s="46"/>
      <c r="D100" s="46"/>
      <c r="E100" s="46"/>
      <c r="F100" s="46"/>
      <c r="G100" s="46"/>
      <c r="H100" s="46"/>
      <c r="I100" s="46" t="s">
        <v>883</v>
      </c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</row>
    <row r="101" spans="1:24" x14ac:dyDescent="0.25">
      <c r="A101" s="46"/>
      <c r="B101" s="46"/>
      <c r="C101" s="46"/>
      <c r="D101" s="46"/>
      <c r="E101" s="46"/>
      <c r="F101" s="46"/>
      <c r="G101" s="46"/>
      <c r="H101" s="46"/>
      <c r="I101" s="46" t="s">
        <v>885</v>
      </c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</row>
    <row r="102" spans="1:24" x14ac:dyDescent="0.25">
      <c r="A102" s="46"/>
      <c r="B102" s="46"/>
      <c r="C102" s="46"/>
      <c r="D102" s="46"/>
      <c r="E102" s="46"/>
      <c r="F102" s="46"/>
      <c r="G102" s="46"/>
      <c r="H102" s="46"/>
      <c r="I102" s="46" t="s">
        <v>887</v>
      </c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</row>
    <row r="103" spans="1:24" x14ac:dyDescent="0.25">
      <c r="A103" s="46"/>
      <c r="B103" s="46"/>
      <c r="C103" s="46"/>
      <c r="D103" s="46"/>
      <c r="E103" s="46"/>
      <c r="F103" s="46"/>
      <c r="G103" s="46"/>
      <c r="H103" s="46"/>
      <c r="I103" s="46" t="s">
        <v>886</v>
      </c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</row>
    <row r="104" spans="1:24" x14ac:dyDescent="0.25">
      <c r="A104" s="46"/>
      <c r="B104" s="46"/>
      <c r="C104" s="46"/>
      <c r="D104" s="46"/>
      <c r="E104" s="46"/>
      <c r="F104" s="46"/>
      <c r="G104" s="46"/>
      <c r="H104" s="46"/>
      <c r="I104" s="46" t="s">
        <v>890</v>
      </c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</row>
    <row r="105" spans="1:24" x14ac:dyDescent="0.25">
      <c r="A105" s="46"/>
      <c r="B105" s="46"/>
      <c r="C105" s="46"/>
      <c r="D105" s="46"/>
      <c r="E105" s="46"/>
      <c r="F105" s="46"/>
      <c r="G105" s="46"/>
      <c r="H105" s="46"/>
      <c r="I105" s="46" t="s">
        <v>516</v>
      </c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</row>
    <row r="106" spans="1:24" x14ac:dyDescent="0.25">
      <c r="A106" s="46"/>
      <c r="B106" s="46"/>
      <c r="C106" s="46"/>
      <c r="D106" s="46"/>
      <c r="E106" s="46"/>
      <c r="F106" s="46"/>
      <c r="G106" s="46"/>
      <c r="H106" s="46"/>
      <c r="I106" s="46" t="s">
        <v>893</v>
      </c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</row>
    <row r="107" spans="1:24" x14ac:dyDescent="0.25">
      <c r="A107" s="46"/>
      <c r="B107" s="46"/>
      <c r="C107" s="46"/>
      <c r="D107" s="46"/>
      <c r="E107" s="46"/>
      <c r="F107" s="46"/>
      <c r="G107" s="46"/>
      <c r="H107" s="46"/>
      <c r="I107" s="46" t="s">
        <v>895</v>
      </c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</row>
    <row r="108" spans="1:24" x14ac:dyDescent="0.25">
      <c r="A108" s="46"/>
      <c r="B108" s="46"/>
      <c r="C108" s="46"/>
      <c r="D108" s="46"/>
      <c r="E108" s="46"/>
      <c r="F108" s="46"/>
      <c r="G108" s="46"/>
      <c r="H108" s="46"/>
      <c r="I108" s="46" t="s">
        <v>896</v>
      </c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</row>
    <row r="109" spans="1:24" x14ac:dyDescent="0.25">
      <c r="A109" s="46"/>
      <c r="B109" s="46"/>
      <c r="C109" s="46"/>
      <c r="D109" s="46"/>
      <c r="E109" s="46"/>
      <c r="F109" s="46"/>
      <c r="G109" s="46"/>
      <c r="H109" s="46"/>
      <c r="I109" s="46" t="s">
        <v>898</v>
      </c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</row>
    <row r="110" spans="1:24" x14ac:dyDescent="0.25">
      <c r="A110" s="46"/>
      <c r="B110" s="46"/>
      <c r="C110" s="46"/>
      <c r="D110" s="46"/>
      <c r="E110" s="46"/>
      <c r="F110" s="46"/>
      <c r="G110" s="46"/>
      <c r="H110" s="46"/>
      <c r="I110" s="46" t="s">
        <v>900</v>
      </c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</row>
    <row r="111" spans="1:24" x14ac:dyDescent="0.25">
      <c r="A111" s="46"/>
      <c r="B111" s="46"/>
      <c r="C111" s="46"/>
      <c r="D111" s="46"/>
      <c r="E111" s="46"/>
      <c r="F111" s="46"/>
      <c r="G111" s="46"/>
      <c r="H111" s="46"/>
      <c r="I111" s="46" t="s">
        <v>902</v>
      </c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</row>
    <row r="112" spans="1:24" x14ac:dyDescent="0.25">
      <c r="A112" s="46"/>
      <c r="B112" s="46"/>
      <c r="C112" s="46"/>
      <c r="D112" s="46"/>
      <c r="E112" s="46"/>
      <c r="F112" s="46"/>
      <c r="G112" s="46"/>
      <c r="H112" s="46"/>
      <c r="I112" s="46" t="s">
        <v>903</v>
      </c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</row>
    <row r="113" spans="1:24" x14ac:dyDescent="0.25">
      <c r="A113" s="46"/>
      <c r="B113" s="46"/>
      <c r="C113" s="46"/>
      <c r="D113" s="46"/>
      <c r="E113" s="46"/>
      <c r="F113" s="46"/>
      <c r="G113" s="46"/>
      <c r="H113" s="46"/>
      <c r="I113" s="46" t="s">
        <v>905</v>
      </c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</row>
    <row r="114" spans="1:24" x14ac:dyDescent="0.25">
      <c r="A114" s="46"/>
      <c r="B114" s="46"/>
      <c r="C114" s="46"/>
      <c r="D114" s="46"/>
      <c r="E114" s="46"/>
      <c r="F114" s="46"/>
      <c r="G114" s="46"/>
      <c r="H114" s="46"/>
      <c r="I114" s="46" t="s">
        <v>907</v>
      </c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</row>
    <row r="115" spans="1:24" x14ac:dyDescent="0.25">
      <c r="A115" s="46"/>
      <c r="B115" s="46"/>
      <c r="C115" s="46"/>
      <c r="D115" s="46"/>
      <c r="E115" s="46"/>
      <c r="F115" s="46"/>
      <c r="G115" s="46"/>
      <c r="H115" s="46"/>
      <c r="I115" s="46" t="s">
        <v>909</v>
      </c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</row>
    <row r="116" spans="1:24" x14ac:dyDescent="0.25">
      <c r="A116" s="46"/>
      <c r="B116" s="46"/>
      <c r="C116" s="46"/>
      <c r="D116" s="46"/>
      <c r="E116" s="46"/>
      <c r="F116" s="46"/>
      <c r="G116" s="46"/>
      <c r="H116" s="46"/>
      <c r="I116" s="46" t="s">
        <v>911</v>
      </c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</row>
    <row r="117" spans="1:24" x14ac:dyDescent="0.25">
      <c r="A117" s="46"/>
      <c r="B117" s="46"/>
      <c r="C117" s="46"/>
      <c r="D117" s="46"/>
      <c r="E117" s="46"/>
      <c r="F117" s="46"/>
      <c r="G117" s="46"/>
      <c r="H117" s="46"/>
      <c r="I117" s="46" t="s">
        <v>912</v>
      </c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</row>
    <row r="118" spans="1:24" x14ac:dyDescent="0.25">
      <c r="A118" s="46"/>
      <c r="B118" s="46"/>
      <c r="C118" s="46"/>
      <c r="D118" s="46"/>
      <c r="E118" s="46"/>
      <c r="F118" s="46"/>
      <c r="G118" s="46"/>
      <c r="H118" s="46"/>
      <c r="I118" s="46" t="s">
        <v>914</v>
      </c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</row>
    <row r="119" spans="1:24" x14ac:dyDescent="0.25">
      <c r="A119" s="46"/>
      <c r="B119" s="46"/>
      <c r="C119" s="46"/>
      <c r="D119" s="46"/>
      <c r="E119" s="46"/>
      <c r="F119" s="46"/>
      <c r="G119" s="46"/>
      <c r="H119" s="46"/>
      <c r="I119" s="46" t="s">
        <v>916</v>
      </c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</row>
    <row r="120" spans="1:24" x14ac:dyDescent="0.25">
      <c r="A120" s="46"/>
      <c r="B120" s="46"/>
      <c r="C120" s="46"/>
      <c r="D120" s="46"/>
      <c r="E120" s="46"/>
      <c r="F120" s="46"/>
      <c r="G120" s="46"/>
      <c r="H120" s="46"/>
      <c r="I120" s="46" t="s">
        <v>917</v>
      </c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</row>
    <row r="121" spans="1:24" x14ac:dyDescent="0.25">
      <c r="A121" s="46"/>
      <c r="B121" s="46"/>
      <c r="C121" s="46"/>
      <c r="D121" s="46"/>
      <c r="E121" s="46"/>
      <c r="F121" s="46"/>
      <c r="G121" s="46"/>
      <c r="H121" s="46"/>
      <c r="I121" s="46" t="s">
        <v>919</v>
      </c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</row>
    <row r="122" spans="1:24" x14ac:dyDescent="0.25">
      <c r="A122" s="46"/>
      <c r="B122" s="46"/>
      <c r="C122" s="46"/>
      <c r="D122" s="46"/>
      <c r="E122" s="46"/>
      <c r="F122" s="46"/>
      <c r="G122" s="46"/>
      <c r="H122" s="46"/>
      <c r="I122" s="46" t="s">
        <v>920</v>
      </c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</row>
    <row r="123" spans="1:24" x14ac:dyDescent="0.25">
      <c r="A123" s="46"/>
      <c r="B123" s="46"/>
      <c r="C123" s="46"/>
      <c r="D123" s="46"/>
      <c r="E123" s="46"/>
      <c r="F123" s="46"/>
      <c r="G123" s="46"/>
      <c r="H123" s="46"/>
      <c r="I123" s="46" t="s">
        <v>921</v>
      </c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</row>
    <row r="124" spans="1:24" x14ac:dyDescent="0.25">
      <c r="A124" s="46"/>
      <c r="B124" s="46"/>
      <c r="C124" s="46"/>
      <c r="D124" s="46"/>
      <c r="E124" s="46"/>
      <c r="F124" s="46"/>
      <c r="G124" s="46"/>
      <c r="H124" s="46"/>
      <c r="I124" s="46" t="s">
        <v>922</v>
      </c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</row>
    <row r="125" spans="1:24" x14ac:dyDescent="0.25">
      <c r="A125" s="46"/>
      <c r="B125" s="46"/>
      <c r="C125" s="46"/>
      <c r="D125" s="46"/>
      <c r="E125" s="46"/>
      <c r="F125" s="46"/>
      <c r="G125" s="46"/>
      <c r="H125" s="46"/>
      <c r="I125" s="46" t="s">
        <v>923</v>
      </c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</row>
    <row r="126" spans="1:24" x14ac:dyDescent="0.25">
      <c r="A126" s="46"/>
      <c r="B126" s="46"/>
      <c r="C126" s="46"/>
      <c r="D126" s="46"/>
      <c r="E126" s="46"/>
      <c r="F126" s="46"/>
      <c r="G126" s="46"/>
      <c r="H126" s="46"/>
      <c r="I126" s="46" t="s">
        <v>924</v>
      </c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</row>
    <row r="127" spans="1:24" x14ac:dyDescent="0.25">
      <c r="A127" s="46"/>
      <c r="B127" s="46"/>
      <c r="C127" s="46"/>
      <c r="D127" s="46"/>
      <c r="E127" s="46"/>
      <c r="F127" s="46"/>
      <c r="G127" s="46"/>
      <c r="H127" s="46"/>
      <c r="I127" s="46" t="s">
        <v>542</v>
      </c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</row>
    <row r="128" spans="1:24" x14ac:dyDescent="0.25">
      <c r="A128" s="46"/>
      <c r="B128" s="46"/>
      <c r="C128" s="46"/>
      <c r="D128" s="46"/>
      <c r="E128" s="46"/>
      <c r="F128" s="46"/>
      <c r="G128" s="46"/>
      <c r="H128" s="46"/>
      <c r="I128" s="46" t="s">
        <v>549</v>
      </c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</row>
    <row r="129" spans="1:24" x14ac:dyDescent="0.25">
      <c r="A129" s="46"/>
      <c r="B129" s="46"/>
      <c r="C129" s="46"/>
      <c r="D129" s="46"/>
      <c r="E129" s="46"/>
      <c r="F129" s="46"/>
      <c r="G129" s="46"/>
      <c r="H129" s="46"/>
      <c r="I129" s="46" t="s">
        <v>535</v>
      </c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</row>
    <row r="130" spans="1:24" x14ac:dyDescent="0.25">
      <c r="A130" s="46"/>
      <c r="B130" s="46"/>
      <c r="C130" s="46"/>
      <c r="D130" s="46"/>
      <c r="E130" s="46"/>
      <c r="F130" s="46"/>
      <c r="G130" s="46"/>
      <c r="H130" s="46"/>
      <c r="I130" s="46" t="s">
        <v>928</v>
      </c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</row>
    <row r="131" spans="1:24" x14ac:dyDescent="0.25">
      <c r="A131" s="46"/>
      <c r="B131" s="46"/>
      <c r="C131" s="46"/>
      <c r="D131" s="46"/>
      <c r="E131" s="46"/>
      <c r="F131" s="46"/>
      <c r="G131" s="46"/>
      <c r="H131" s="46"/>
      <c r="I131" s="46" t="s">
        <v>930</v>
      </c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</row>
    <row r="132" spans="1:24" x14ac:dyDescent="0.25">
      <c r="A132" s="46"/>
      <c r="B132" s="46"/>
      <c r="C132" s="46"/>
      <c r="D132" s="46"/>
      <c r="E132" s="46"/>
      <c r="F132" s="46"/>
      <c r="G132" s="46"/>
      <c r="H132" s="46"/>
      <c r="I132" s="46" t="s">
        <v>932</v>
      </c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</row>
    <row r="133" spans="1:24" x14ac:dyDescent="0.25">
      <c r="A133" s="46"/>
      <c r="B133" s="46"/>
      <c r="C133" s="46"/>
      <c r="D133" s="46"/>
      <c r="E133" s="46"/>
      <c r="F133" s="46"/>
      <c r="G133" s="46"/>
      <c r="H133" s="46"/>
      <c r="I133" s="46" t="s">
        <v>934</v>
      </c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</row>
    <row r="134" spans="1:24" x14ac:dyDescent="0.25">
      <c r="A134" s="46"/>
      <c r="B134" s="46"/>
      <c r="C134" s="46"/>
      <c r="D134" s="46"/>
      <c r="E134" s="46"/>
      <c r="F134" s="46"/>
      <c r="G134" s="46"/>
      <c r="H134" s="46"/>
      <c r="I134" s="46" t="s">
        <v>936</v>
      </c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</row>
    <row r="135" spans="1:24" x14ac:dyDescent="0.25">
      <c r="A135" s="46"/>
      <c r="B135" s="46"/>
      <c r="C135" s="46"/>
      <c r="D135" s="46"/>
      <c r="E135" s="46"/>
      <c r="F135" s="46"/>
      <c r="G135" s="46"/>
      <c r="H135" s="46"/>
      <c r="I135" s="46" t="s">
        <v>938</v>
      </c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</row>
    <row r="136" spans="1:24" x14ac:dyDescent="0.25">
      <c r="A136" s="46"/>
      <c r="B136" s="46"/>
      <c r="C136" s="46"/>
      <c r="D136" s="46"/>
      <c r="E136" s="46"/>
      <c r="F136" s="46"/>
      <c r="G136" s="46"/>
      <c r="H136" s="46"/>
      <c r="I136" s="46" t="s">
        <v>940</v>
      </c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</row>
    <row r="137" spans="1:24" x14ac:dyDescent="0.25">
      <c r="A137" s="46"/>
      <c r="B137" s="46"/>
      <c r="C137" s="46"/>
      <c r="D137" s="46"/>
      <c r="E137" s="46"/>
      <c r="F137" s="46"/>
      <c r="G137" s="46"/>
      <c r="H137" s="46"/>
      <c r="I137" s="46" t="s">
        <v>941</v>
      </c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</row>
    <row r="138" spans="1:24" x14ac:dyDescent="0.25">
      <c r="A138" s="46"/>
      <c r="B138" s="46"/>
      <c r="C138" s="46"/>
      <c r="D138" s="46"/>
      <c r="E138" s="46"/>
      <c r="F138" s="46"/>
      <c r="G138" s="46"/>
      <c r="H138" s="46"/>
      <c r="I138" s="46" t="s">
        <v>942</v>
      </c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</row>
    <row r="139" spans="1:24" x14ac:dyDescent="0.25">
      <c r="A139" s="46"/>
      <c r="B139" s="46"/>
      <c r="C139" s="46"/>
      <c r="D139" s="46"/>
      <c r="E139" s="46"/>
      <c r="F139" s="46"/>
      <c r="G139" s="46"/>
      <c r="H139" s="46"/>
      <c r="I139" s="46" t="s">
        <v>944</v>
      </c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</row>
    <row r="140" spans="1:24" x14ac:dyDescent="0.25">
      <c r="A140" s="46"/>
      <c r="B140" s="46"/>
      <c r="C140" s="46"/>
      <c r="D140" s="46"/>
      <c r="E140" s="46"/>
      <c r="F140" s="46"/>
      <c r="G140" s="46"/>
      <c r="H140" s="46"/>
      <c r="I140" s="46" t="s">
        <v>945</v>
      </c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</row>
    <row r="141" spans="1:24" x14ac:dyDescent="0.25">
      <c r="A141" s="46"/>
      <c r="B141" s="46"/>
      <c r="C141" s="46"/>
      <c r="D141" s="46"/>
      <c r="E141" s="46"/>
      <c r="F141" s="46"/>
      <c r="G141" s="46"/>
      <c r="H141" s="46"/>
      <c r="I141" s="46" t="s">
        <v>947</v>
      </c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</row>
    <row r="142" spans="1:24" x14ac:dyDescent="0.25">
      <c r="A142" s="46"/>
      <c r="B142" s="46"/>
      <c r="C142" s="46"/>
      <c r="D142" s="46"/>
      <c r="E142" s="46"/>
      <c r="F142" s="46"/>
      <c r="G142" s="46"/>
      <c r="H142" s="46"/>
      <c r="I142" s="46" t="s">
        <v>949</v>
      </c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</row>
    <row r="143" spans="1:24" x14ac:dyDescent="0.25">
      <c r="A143" s="46"/>
      <c r="B143" s="46"/>
      <c r="C143" s="46"/>
      <c r="D143" s="46"/>
      <c r="E143" s="46"/>
      <c r="F143" s="46"/>
      <c r="G143" s="46"/>
      <c r="H143" s="46"/>
      <c r="I143" s="46" t="s">
        <v>951</v>
      </c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</row>
    <row r="144" spans="1:24" x14ac:dyDescent="0.25">
      <c r="A144" s="46"/>
      <c r="B144" s="46"/>
      <c r="C144" s="46"/>
      <c r="D144" s="46"/>
      <c r="E144" s="46"/>
      <c r="F144" s="46"/>
      <c r="G144" s="46"/>
      <c r="H144" s="46"/>
      <c r="I144" s="46" t="s">
        <v>950</v>
      </c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</row>
    <row r="145" spans="1:24" x14ac:dyDescent="0.25">
      <c r="A145" s="46"/>
      <c r="B145" s="46"/>
      <c r="C145" s="46"/>
      <c r="D145" s="46"/>
      <c r="E145" s="46"/>
      <c r="F145" s="46"/>
      <c r="G145" s="46"/>
      <c r="H145" s="46"/>
      <c r="I145" s="46" t="s">
        <v>557</v>
      </c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</row>
    <row r="146" spans="1:24" x14ac:dyDescent="0.25">
      <c r="A146" s="46"/>
      <c r="B146" s="46"/>
      <c r="C146" s="46"/>
      <c r="D146" s="46"/>
      <c r="E146" s="46"/>
      <c r="F146" s="46"/>
      <c r="G146" s="46"/>
      <c r="H146" s="46"/>
      <c r="I146" s="46" t="s">
        <v>952</v>
      </c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</row>
    <row r="147" spans="1:24" x14ac:dyDescent="0.25">
      <c r="A147" s="46"/>
      <c r="B147" s="46"/>
      <c r="C147" s="46"/>
      <c r="D147" s="46"/>
      <c r="E147" s="46"/>
      <c r="F147" s="46"/>
      <c r="G147" s="46"/>
      <c r="H147" s="46"/>
      <c r="I147" s="46" t="s">
        <v>955</v>
      </c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</row>
    <row r="148" spans="1:24" x14ac:dyDescent="0.25">
      <c r="A148" s="46"/>
      <c r="B148" s="46"/>
      <c r="C148" s="46"/>
      <c r="D148" s="46"/>
      <c r="E148" s="46"/>
      <c r="F148" s="46"/>
      <c r="G148" s="46"/>
      <c r="H148" s="46"/>
      <c r="I148" s="46" t="s">
        <v>954</v>
      </c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</row>
    <row r="149" spans="1:24" x14ac:dyDescent="0.25">
      <c r="A149" s="46"/>
      <c r="B149" s="46"/>
      <c r="C149" s="46"/>
      <c r="D149" s="46"/>
      <c r="E149" s="46"/>
      <c r="F149" s="46"/>
      <c r="G149" s="46"/>
      <c r="H149" s="46"/>
      <c r="I149" s="46" t="s">
        <v>957</v>
      </c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</row>
    <row r="150" spans="1:24" x14ac:dyDescent="0.25">
      <c r="A150" s="46"/>
      <c r="B150" s="46"/>
      <c r="C150" s="46"/>
      <c r="D150" s="46"/>
      <c r="E150" s="46"/>
      <c r="F150" s="46"/>
      <c r="G150" s="46"/>
      <c r="H150" s="46"/>
      <c r="I150" s="46" t="s">
        <v>726</v>
      </c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</row>
    <row r="151" spans="1:24" x14ac:dyDescent="0.25">
      <c r="A151" s="46"/>
      <c r="B151" s="46"/>
      <c r="C151" s="46"/>
      <c r="D151" s="46"/>
      <c r="E151" s="46"/>
      <c r="F151" s="46"/>
      <c r="G151" s="46"/>
      <c r="H151" s="46"/>
      <c r="I151" s="46" t="s">
        <v>960</v>
      </c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</row>
    <row r="152" spans="1:24" x14ac:dyDescent="0.25">
      <c r="A152" s="46"/>
      <c r="B152" s="46"/>
      <c r="C152" s="46"/>
      <c r="D152" s="46"/>
      <c r="E152" s="46"/>
      <c r="F152" s="46"/>
      <c r="G152" s="46"/>
      <c r="H152" s="46"/>
      <c r="I152" s="46" t="s">
        <v>959</v>
      </c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</row>
    <row r="153" spans="1:24" x14ac:dyDescent="0.25">
      <c r="A153" s="46"/>
      <c r="B153" s="46"/>
      <c r="C153" s="46"/>
      <c r="D153" s="46"/>
      <c r="E153" s="46"/>
      <c r="F153" s="46"/>
      <c r="G153" s="46"/>
      <c r="H153" s="46"/>
      <c r="I153" s="46" t="s">
        <v>963</v>
      </c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</row>
    <row r="154" spans="1:24" x14ac:dyDescent="0.25">
      <c r="A154" s="46"/>
      <c r="B154" s="46"/>
      <c r="C154" s="46"/>
      <c r="D154" s="46"/>
      <c r="E154" s="46"/>
      <c r="F154" s="46"/>
      <c r="G154" s="46"/>
      <c r="H154" s="46"/>
      <c r="I154" s="46" t="s">
        <v>962</v>
      </c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</row>
    <row r="155" spans="1:24" x14ac:dyDescent="0.25">
      <c r="A155" s="46"/>
      <c r="B155" s="46"/>
      <c r="C155" s="46"/>
      <c r="D155" s="46"/>
      <c r="E155" s="46"/>
      <c r="F155" s="46"/>
      <c r="G155" s="46"/>
      <c r="H155" s="46"/>
      <c r="I155" s="46" t="s">
        <v>966</v>
      </c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</row>
    <row r="156" spans="1:24" x14ac:dyDescent="0.25">
      <c r="A156" s="46"/>
      <c r="B156" s="46"/>
      <c r="C156" s="46"/>
      <c r="D156" s="46"/>
      <c r="E156" s="46"/>
      <c r="F156" s="46"/>
      <c r="G156" s="46"/>
      <c r="H156" s="46"/>
      <c r="I156" s="46" t="s">
        <v>965</v>
      </c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</row>
    <row r="157" spans="1:24" x14ac:dyDescent="0.25">
      <c r="A157" s="46"/>
      <c r="B157" s="46"/>
      <c r="C157" s="46"/>
      <c r="D157" s="46"/>
      <c r="E157" s="46"/>
      <c r="F157" s="46"/>
      <c r="G157" s="46"/>
      <c r="H157" s="46"/>
      <c r="I157" s="46" t="s">
        <v>967</v>
      </c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</row>
    <row r="158" spans="1:24" x14ac:dyDescent="0.25">
      <c r="A158" s="46"/>
      <c r="B158" s="46"/>
      <c r="C158" s="46"/>
      <c r="D158" s="46"/>
      <c r="E158" s="46"/>
      <c r="F158" s="46"/>
      <c r="G158" s="46"/>
      <c r="H158" s="46"/>
      <c r="I158" s="46" t="s">
        <v>564</v>
      </c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</row>
    <row r="159" spans="1:24" x14ac:dyDescent="0.25">
      <c r="A159" s="46"/>
      <c r="B159" s="46"/>
      <c r="C159" s="46"/>
      <c r="D159" s="46"/>
      <c r="E159" s="46"/>
      <c r="F159" s="46"/>
      <c r="G159" s="46"/>
      <c r="H159" s="46"/>
      <c r="I159" s="46" t="s">
        <v>971</v>
      </c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</row>
    <row r="160" spans="1:24" x14ac:dyDescent="0.25">
      <c r="A160" s="46"/>
      <c r="B160" s="46"/>
      <c r="C160" s="46"/>
      <c r="D160" s="46"/>
      <c r="E160" s="46"/>
      <c r="F160" s="46"/>
      <c r="G160" s="46"/>
      <c r="H160" s="46"/>
      <c r="I160" s="46" t="s">
        <v>970</v>
      </c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</row>
    <row r="161" spans="1:24" x14ac:dyDescent="0.25">
      <c r="A161" s="46"/>
      <c r="B161" s="46"/>
      <c r="C161" s="46"/>
      <c r="D161" s="46"/>
      <c r="E161" s="46"/>
      <c r="F161" s="46"/>
      <c r="G161" s="46"/>
      <c r="H161" s="46"/>
      <c r="I161" s="46" t="s">
        <v>972</v>
      </c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</row>
    <row r="162" spans="1:24" x14ac:dyDescent="0.25">
      <c r="A162" s="46"/>
      <c r="B162" s="46"/>
      <c r="C162" s="46"/>
      <c r="D162" s="46"/>
      <c r="E162" s="46"/>
      <c r="F162" s="46"/>
      <c r="G162" s="46"/>
      <c r="H162" s="46"/>
      <c r="I162" s="46" t="s">
        <v>975</v>
      </c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</row>
    <row r="163" spans="1:24" x14ac:dyDescent="0.25">
      <c r="A163" s="46"/>
      <c r="B163" s="46"/>
      <c r="C163" s="46"/>
      <c r="D163" s="46"/>
      <c r="E163" s="46"/>
      <c r="F163" s="46"/>
      <c r="G163" s="46"/>
      <c r="H163" s="46"/>
      <c r="I163" s="46" t="s">
        <v>977</v>
      </c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</row>
    <row r="164" spans="1:24" x14ac:dyDescent="0.25">
      <c r="A164" s="46"/>
      <c r="B164" s="46"/>
      <c r="C164" s="46"/>
      <c r="D164" s="46"/>
      <c r="E164" s="46"/>
      <c r="F164" s="46"/>
      <c r="G164" s="46"/>
      <c r="H164" s="46"/>
      <c r="I164" s="46" t="s">
        <v>976</v>
      </c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</row>
    <row r="165" spans="1:24" x14ac:dyDescent="0.25">
      <c r="A165" s="46"/>
      <c r="B165" s="46"/>
      <c r="C165" s="46"/>
      <c r="D165" s="46"/>
      <c r="E165" s="46"/>
      <c r="F165" s="46"/>
      <c r="G165" s="46"/>
      <c r="H165" s="46"/>
      <c r="I165" s="46" t="s">
        <v>978</v>
      </c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</row>
    <row r="166" spans="1:24" x14ac:dyDescent="0.25">
      <c r="A166" s="46"/>
      <c r="B166" s="46"/>
      <c r="C166" s="46"/>
      <c r="D166" s="46"/>
      <c r="E166" s="46"/>
      <c r="F166" s="46"/>
      <c r="G166" s="46"/>
      <c r="H166" s="46"/>
      <c r="I166" s="46" t="s">
        <v>979</v>
      </c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</row>
    <row r="167" spans="1:24" x14ac:dyDescent="0.25">
      <c r="A167" s="46"/>
      <c r="B167" s="46"/>
      <c r="C167" s="46"/>
      <c r="D167" s="46"/>
      <c r="E167" s="46"/>
      <c r="F167" s="46"/>
      <c r="G167" s="46"/>
      <c r="H167" s="46"/>
      <c r="I167" s="46" t="s">
        <v>982</v>
      </c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</row>
    <row r="168" spans="1:24" x14ac:dyDescent="0.25">
      <c r="A168" s="46"/>
      <c r="B168" s="46"/>
      <c r="C168" s="46"/>
      <c r="D168" s="46"/>
      <c r="E168" s="46"/>
      <c r="F168" s="46"/>
      <c r="G168" s="46"/>
      <c r="H168" s="46"/>
      <c r="I168" s="46" t="s">
        <v>984</v>
      </c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</row>
    <row r="169" spans="1:24" x14ac:dyDescent="0.25">
      <c r="A169" s="46"/>
      <c r="B169" s="46"/>
      <c r="C169" s="46"/>
      <c r="D169" s="46"/>
      <c r="E169" s="46"/>
      <c r="F169" s="46"/>
      <c r="G169" s="46"/>
      <c r="H169" s="46"/>
      <c r="I169" s="46" t="s">
        <v>986</v>
      </c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</row>
    <row r="170" spans="1:24" x14ac:dyDescent="0.25">
      <c r="A170" s="46"/>
      <c r="B170" s="46"/>
      <c r="C170" s="46"/>
      <c r="D170" s="46"/>
      <c r="E170" s="46"/>
      <c r="F170" s="46"/>
      <c r="G170" s="46"/>
      <c r="H170" s="46"/>
      <c r="I170" s="46" t="s">
        <v>985</v>
      </c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</row>
    <row r="171" spans="1:24" x14ac:dyDescent="0.25">
      <c r="A171" s="46"/>
      <c r="B171" s="46"/>
      <c r="C171" s="46"/>
      <c r="D171" s="46"/>
      <c r="E171" s="46"/>
      <c r="F171" s="46"/>
      <c r="G171" s="46"/>
      <c r="H171" s="46"/>
      <c r="I171" s="46" t="s">
        <v>579</v>
      </c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</row>
    <row r="172" spans="1:24" x14ac:dyDescent="0.25">
      <c r="A172" s="46"/>
      <c r="B172" s="46"/>
      <c r="C172" s="46"/>
      <c r="D172" s="46"/>
      <c r="E172" s="46"/>
      <c r="F172" s="46"/>
      <c r="G172" s="46"/>
      <c r="H172" s="46"/>
      <c r="I172" s="46" t="s">
        <v>990</v>
      </c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</row>
    <row r="173" spans="1:24" x14ac:dyDescent="0.25">
      <c r="A173" s="46"/>
      <c r="B173" s="46"/>
      <c r="C173" s="46"/>
      <c r="D173" s="46"/>
      <c r="E173" s="46"/>
      <c r="F173" s="46"/>
      <c r="G173" s="46"/>
      <c r="H173" s="46"/>
      <c r="I173" s="46" t="s">
        <v>992</v>
      </c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</row>
    <row r="174" spans="1:24" x14ac:dyDescent="0.25">
      <c r="A174" s="46"/>
      <c r="B174" s="46"/>
      <c r="C174" s="46"/>
      <c r="D174" s="46"/>
      <c r="E174" s="46"/>
      <c r="F174" s="46"/>
      <c r="G174" s="46"/>
      <c r="H174" s="46"/>
      <c r="I174" s="46" t="s">
        <v>993</v>
      </c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</row>
    <row r="175" spans="1:24" x14ac:dyDescent="0.25">
      <c r="A175" s="46"/>
      <c r="B175" s="46"/>
      <c r="C175" s="46"/>
      <c r="D175" s="46"/>
      <c r="E175" s="46"/>
      <c r="F175" s="46"/>
      <c r="G175" s="46"/>
      <c r="H175" s="46"/>
      <c r="I175" s="46" t="s">
        <v>995</v>
      </c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</row>
    <row r="176" spans="1:24" x14ac:dyDescent="0.25">
      <c r="A176" s="46"/>
      <c r="B176" s="46"/>
      <c r="C176" s="46"/>
      <c r="D176" s="46"/>
      <c r="E176" s="46"/>
      <c r="F176" s="46"/>
      <c r="G176" s="46"/>
      <c r="H176" s="46"/>
      <c r="I176" s="46" t="s">
        <v>586</v>
      </c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</row>
    <row r="177" spans="1:24" x14ac:dyDescent="0.25">
      <c r="A177" s="46"/>
      <c r="B177" s="46"/>
      <c r="C177" s="46"/>
      <c r="D177" s="46"/>
      <c r="E177" s="46"/>
      <c r="F177" s="46"/>
      <c r="G177" s="46"/>
      <c r="H177" s="46"/>
      <c r="I177" s="46" t="s">
        <v>994</v>
      </c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</row>
    <row r="178" spans="1:24" x14ac:dyDescent="0.25">
      <c r="A178" s="46"/>
      <c r="B178" s="46"/>
      <c r="C178" s="46"/>
      <c r="D178" s="46"/>
      <c r="E178" s="46"/>
      <c r="F178" s="46"/>
      <c r="G178" s="46"/>
      <c r="H178" s="46"/>
      <c r="I178" s="46" t="s">
        <v>996</v>
      </c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</row>
    <row r="179" spans="1:24" x14ac:dyDescent="0.25">
      <c r="A179" s="46"/>
      <c r="B179" s="46"/>
      <c r="C179" s="46"/>
      <c r="D179" s="46"/>
      <c r="E179" s="46"/>
      <c r="F179" s="46"/>
      <c r="G179" s="46"/>
      <c r="H179" s="46"/>
      <c r="I179" s="46" t="s">
        <v>997</v>
      </c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</row>
    <row r="180" spans="1:24" x14ac:dyDescent="0.25">
      <c r="A180" s="46"/>
      <c r="B180" s="46"/>
      <c r="C180" s="46"/>
      <c r="D180" s="46"/>
      <c r="E180" s="46"/>
      <c r="F180" s="46"/>
      <c r="G180" s="46"/>
      <c r="H180" s="46"/>
      <c r="I180" s="46" t="s">
        <v>1001</v>
      </c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</row>
    <row r="181" spans="1:24" x14ac:dyDescent="0.25">
      <c r="A181" s="46"/>
      <c r="B181" s="46"/>
      <c r="C181" s="46"/>
      <c r="D181" s="46"/>
      <c r="E181" s="46"/>
      <c r="F181" s="46"/>
      <c r="G181" s="46"/>
      <c r="H181" s="46"/>
      <c r="I181" s="46" t="s">
        <v>593</v>
      </c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</row>
    <row r="182" spans="1:24" x14ac:dyDescent="0.25">
      <c r="A182" s="46"/>
      <c r="B182" s="46"/>
      <c r="C182" s="46"/>
      <c r="D182" s="46"/>
      <c r="E182" s="46"/>
      <c r="F182" s="46"/>
      <c r="G182" s="46"/>
      <c r="H182" s="46"/>
      <c r="I182" s="46" t="s">
        <v>1004</v>
      </c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</row>
    <row r="183" spans="1:24" x14ac:dyDescent="0.25">
      <c r="A183" s="46"/>
      <c r="B183" s="46"/>
      <c r="C183" s="46"/>
      <c r="D183" s="46"/>
      <c r="E183" s="46"/>
      <c r="F183" s="46"/>
      <c r="G183" s="46"/>
      <c r="H183" s="46"/>
      <c r="I183" s="46" t="s">
        <v>1006</v>
      </c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</row>
    <row r="184" spans="1:24" x14ac:dyDescent="0.25">
      <c r="A184" s="46"/>
      <c r="B184" s="46"/>
      <c r="C184" s="46"/>
      <c r="D184" s="46"/>
      <c r="E184" s="46"/>
      <c r="F184" s="46"/>
      <c r="G184" s="46"/>
      <c r="H184" s="46"/>
      <c r="I184" s="46" t="s">
        <v>1008</v>
      </c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</row>
    <row r="185" spans="1:24" x14ac:dyDescent="0.25">
      <c r="A185" s="46"/>
      <c r="B185" s="46"/>
      <c r="C185" s="46"/>
      <c r="D185" s="46"/>
      <c r="E185" s="46"/>
      <c r="F185" s="46"/>
      <c r="G185" s="46"/>
      <c r="H185" s="46"/>
      <c r="I185" s="46" t="s">
        <v>1010</v>
      </c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</row>
    <row r="186" spans="1:24" x14ac:dyDescent="0.25">
      <c r="A186" s="46"/>
      <c r="B186" s="46"/>
      <c r="C186" s="46"/>
      <c r="D186" s="46"/>
      <c r="E186" s="46"/>
      <c r="F186" s="46"/>
      <c r="G186" s="46"/>
      <c r="H186" s="46"/>
      <c r="I186" s="46" t="s">
        <v>1012</v>
      </c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</row>
    <row r="187" spans="1:24" x14ac:dyDescent="0.25">
      <c r="A187" s="46"/>
      <c r="B187" s="46"/>
      <c r="C187" s="46"/>
      <c r="D187" s="46"/>
      <c r="E187" s="46"/>
      <c r="F187" s="46"/>
      <c r="G187" s="46"/>
      <c r="H187" s="46"/>
      <c r="I187" s="46" t="s">
        <v>1009</v>
      </c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</row>
    <row r="188" spans="1:24" x14ac:dyDescent="0.25">
      <c r="A188" s="46"/>
      <c r="B188" s="46"/>
      <c r="C188" s="46"/>
      <c r="D188" s="46"/>
      <c r="E188" s="46"/>
      <c r="F188" s="46"/>
      <c r="G188" s="46"/>
      <c r="H188" s="46"/>
      <c r="I188" s="46" t="s">
        <v>600</v>
      </c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</row>
    <row r="189" spans="1:24" x14ac:dyDescent="0.25">
      <c r="A189" s="46"/>
      <c r="B189" s="46"/>
      <c r="C189" s="46"/>
      <c r="D189" s="46"/>
      <c r="E189" s="46"/>
      <c r="F189" s="46"/>
      <c r="G189" s="46"/>
      <c r="H189" s="46"/>
      <c r="I189" s="46" t="s">
        <v>1016</v>
      </c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</row>
    <row r="190" spans="1:24" x14ac:dyDescent="0.25">
      <c r="A190" s="46"/>
      <c r="B190" s="46"/>
      <c r="C190" s="46"/>
      <c r="D190" s="46"/>
      <c r="E190" s="46"/>
      <c r="F190" s="46"/>
      <c r="G190" s="46"/>
      <c r="H190" s="46"/>
      <c r="I190" s="46" t="s">
        <v>1014</v>
      </c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</row>
    <row r="191" spans="1:24" x14ac:dyDescent="0.25">
      <c r="A191" s="46"/>
      <c r="B191" s="46"/>
      <c r="C191" s="46"/>
      <c r="D191" s="46"/>
      <c r="E191" s="46"/>
      <c r="F191" s="46"/>
      <c r="G191" s="46"/>
      <c r="H191" s="46"/>
      <c r="I191" s="46" t="s">
        <v>613</v>
      </c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</row>
    <row r="192" spans="1:24" x14ac:dyDescent="0.25">
      <c r="A192" s="46"/>
      <c r="B192" s="46"/>
      <c r="C192" s="46"/>
      <c r="D192" s="46"/>
      <c r="E192" s="46"/>
      <c r="F192" s="46"/>
      <c r="G192" s="46"/>
      <c r="H192" s="46"/>
      <c r="I192" s="46" t="s">
        <v>1020</v>
      </c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</row>
    <row r="193" spans="1:24" x14ac:dyDescent="0.25">
      <c r="A193" s="46"/>
      <c r="B193" s="46"/>
      <c r="C193" s="46"/>
      <c r="D193" s="46"/>
      <c r="E193" s="46"/>
      <c r="F193" s="46"/>
      <c r="G193" s="46"/>
      <c r="H193" s="46"/>
      <c r="I193" s="46" t="s">
        <v>606</v>
      </c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</row>
    <row r="194" spans="1:24" x14ac:dyDescent="0.25">
      <c r="A194" s="46"/>
      <c r="B194" s="46"/>
      <c r="C194" s="46"/>
      <c r="D194" s="46"/>
      <c r="E194" s="46"/>
      <c r="F194" s="46"/>
      <c r="G194" s="46"/>
      <c r="H194" s="46"/>
      <c r="I194" s="46" t="s">
        <v>1018</v>
      </c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</row>
    <row r="195" spans="1:24" x14ac:dyDescent="0.25">
      <c r="A195" s="46"/>
      <c r="B195" s="46"/>
      <c r="C195" s="46"/>
      <c r="D195" s="46"/>
      <c r="E195" s="46"/>
      <c r="F195" s="46"/>
      <c r="G195" s="46"/>
      <c r="H195" s="46"/>
      <c r="I195" s="46" t="s">
        <v>1019</v>
      </c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</row>
    <row r="196" spans="1:24" x14ac:dyDescent="0.25">
      <c r="A196" s="46"/>
      <c r="B196" s="46"/>
      <c r="C196" s="46"/>
      <c r="D196" s="46"/>
      <c r="E196" s="46"/>
      <c r="F196" s="46"/>
      <c r="G196" s="46"/>
      <c r="H196" s="46"/>
      <c r="I196" s="46" t="s">
        <v>1021</v>
      </c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</row>
    <row r="197" spans="1:24" x14ac:dyDescent="0.25">
      <c r="A197" s="46"/>
      <c r="B197" s="46"/>
      <c r="C197" s="46"/>
      <c r="D197" s="46"/>
      <c r="E197" s="46"/>
      <c r="F197" s="46"/>
      <c r="G197" s="46"/>
      <c r="H197" s="46"/>
      <c r="I197" s="46" t="s">
        <v>1022</v>
      </c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</row>
    <row r="198" spans="1:24" x14ac:dyDescent="0.25">
      <c r="A198" s="46"/>
      <c r="B198" s="46"/>
      <c r="C198" s="46"/>
      <c r="D198" s="46"/>
      <c r="E198" s="46"/>
      <c r="F198" s="46"/>
      <c r="G198" s="46"/>
      <c r="H198" s="46"/>
      <c r="I198" s="46" t="s">
        <v>1023</v>
      </c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</row>
    <row r="199" spans="1:24" x14ac:dyDescent="0.25">
      <c r="A199" s="46"/>
      <c r="B199" s="46"/>
      <c r="C199" s="46"/>
      <c r="D199" s="46"/>
      <c r="E199" s="46"/>
      <c r="F199" s="46"/>
      <c r="G199" s="46"/>
      <c r="H199" s="46"/>
      <c r="I199" s="46" t="s">
        <v>1024</v>
      </c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</row>
    <row r="200" spans="1:24" x14ac:dyDescent="0.25">
      <c r="A200" s="46"/>
      <c r="B200" s="46"/>
      <c r="C200" s="46"/>
      <c r="D200" s="46"/>
      <c r="E200" s="46"/>
      <c r="F200" s="46"/>
      <c r="G200" s="46"/>
      <c r="H200" s="46"/>
      <c r="I200" s="46" t="s">
        <v>1029</v>
      </c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</row>
    <row r="201" spans="1:24" x14ac:dyDescent="0.25">
      <c r="A201" s="46"/>
      <c r="B201" s="46"/>
      <c r="C201" s="46"/>
      <c r="D201" s="46"/>
      <c r="E201" s="46"/>
      <c r="F201" s="46"/>
      <c r="G201" s="46"/>
      <c r="H201" s="46"/>
      <c r="I201" s="46" t="s">
        <v>1025</v>
      </c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</row>
    <row r="202" spans="1:24" x14ac:dyDescent="0.25">
      <c r="A202" s="46"/>
      <c r="B202" s="46"/>
      <c r="C202" s="46"/>
      <c r="D202" s="46"/>
      <c r="E202" s="46"/>
      <c r="F202" s="46"/>
      <c r="G202" s="46"/>
      <c r="H202" s="46"/>
      <c r="I202" s="46" t="s">
        <v>1032</v>
      </c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</row>
    <row r="203" spans="1:24" x14ac:dyDescent="0.25">
      <c r="A203" s="46"/>
      <c r="B203" s="46"/>
      <c r="C203" s="46"/>
      <c r="D203" s="46"/>
      <c r="E203" s="46"/>
      <c r="F203" s="46"/>
      <c r="G203" s="46"/>
      <c r="H203" s="46"/>
      <c r="I203" s="46" t="s">
        <v>1034</v>
      </c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</row>
    <row r="204" spans="1:24" x14ac:dyDescent="0.25">
      <c r="A204" s="46"/>
      <c r="B204" s="46"/>
      <c r="C204" s="46"/>
      <c r="D204" s="46"/>
      <c r="E204" s="46"/>
      <c r="F204" s="46"/>
      <c r="G204" s="46"/>
      <c r="H204" s="46"/>
      <c r="I204" s="46" t="s">
        <v>1035</v>
      </c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</row>
    <row r="205" spans="1:24" x14ac:dyDescent="0.25">
      <c r="A205" s="46"/>
      <c r="B205" s="46"/>
      <c r="C205" s="46"/>
      <c r="D205" s="46"/>
      <c r="E205" s="46"/>
      <c r="F205" s="46"/>
      <c r="G205" s="46"/>
      <c r="H205" s="46"/>
      <c r="I205" s="46" t="s">
        <v>1037</v>
      </c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</row>
    <row r="206" spans="1:24" x14ac:dyDescent="0.25">
      <c r="A206" s="46"/>
      <c r="B206" s="46"/>
      <c r="C206" s="46"/>
      <c r="D206" s="46"/>
      <c r="E206" s="46"/>
      <c r="F206" s="46"/>
      <c r="G206" s="46"/>
      <c r="H206" s="46"/>
      <c r="I206" s="46" t="s">
        <v>1039</v>
      </c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</row>
    <row r="207" spans="1:24" x14ac:dyDescent="0.25">
      <c r="A207" s="46"/>
      <c r="B207" s="46"/>
      <c r="C207" s="46"/>
      <c r="D207" s="46"/>
      <c r="E207" s="46"/>
      <c r="F207" s="46"/>
      <c r="G207" s="46"/>
      <c r="H207" s="46"/>
      <c r="I207" s="46" t="s">
        <v>1033</v>
      </c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</row>
    <row r="208" spans="1:24" x14ac:dyDescent="0.25">
      <c r="A208" s="46"/>
      <c r="B208" s="46"/>
      <c r="C208" s="46"/>
      <c r="D208" s="46"/>
      <c r="E208" s="46"/>
      <c r="F208" s="46"/>
      <c r="G208" s="46"/>
      <c r="H208" s="46"/>
      <c r="I208" s="46" t="s">
        <v>771</v>
      </c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</row>
    <row r="209" spans="1:24" x14ac:dyDescent="0.25">
      <c r="A209" s="46"/>
      <c r="B209" s="46"/>
      <c r="C209" s="46"/>
      <c r="D209" s="46"/>
      <c r="E209" s="46"/>
      <c r="F209" s="46"/>
      <c r="G209" s="46"/>
      <c r="H209" s="46"/>
      <c r="I209" s="46" t="s">
        <v>1043</v>
      </c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</row>
    <row r="210" spans="1:24" x14ac:dyDescent="0.25">
      <c r="A210" s="46"/>
      <c r="B210" s="46"/>
      <c r="C210" s="46"/>
      <c r="D210" s="46"/>
      <c r="E210" s="46"/>
      <c r="F210" s="46"/>
      <c r="G210" s="46"/>
      <c r="H210" s="46"/>
      <c r="I210" s="46" t="s">
        <v>1045</v>
      </c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</row>
    <row r="211" spans="1:24" x14ac:dyDescent="0.25">
      <c r="A211" s="46"/>
      <c r="B211" s="46"/>
      <c r="C211" s="46"/>
      <c r="D211" s="46"/>
      <c r="E211" s="46"/>
      <c r="F211" s="46"/>
      <c r="G211" s="46"/>
      <c r="H211" s="46"/>
      <c r="I211" s="46" t="s">
        <v>1041</v>
      </c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</row>
    <row r="212" spans="1:24" x14ac:dyDescent="0.25">
      <c r="A212" s="46"/>
      <c r="B212" s="46"/>
      <c r="C212" s="46"/>
      <c r="D212" s="46"/>
      <c r="E212" s="46"/>
      <c r="F212" s="46"/>
      <c r="G212" s="46"/>
      <c r="H212" s="46"/>
      <c r="I212" s="46" t="s">
        <v>1048</v>
      </c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</row>
    <row r="213" spans="1:24" x14ac:dyDescent="0.25">
      <c r="A213" s="46"/>
      <c r="B213" s="46"/>
      <c r="C213" s="46"/>
      <c r="D213" s="46"/>
      <c r="E213" s="46"/>
      <c r="F213" s="46"/>
      <c r="G213" s="46"/>
      <c r="H213" s="46"/>
      <c r="I213" s="46" t="s">
        <v>1044</v>
      </c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</row>
    <row r="214" spans="1:24" x14ac:dyDescent="0.25">
      <c r="A214" s="46"/>
      <c r="B214" s="46"/>
      <c r="C214" s="46"/>
      <c r="D214" s="46"/>
      <c r="E214" s="46"/>
      <c r="F214" s="46"/>
      <c r="G214" s="46"/>
      <c r="H214" s="46"/>
      <c r="I214" s="46" t="s">
        <v>1051</v>
      </c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</row>
    <row r="215" spans="1:24" x14ac:dyDescent="0.25">
      <c r="A215" s="46"/>
      <c r="B215" s="46"/>
      <c r="C215" s="46"/>
      <c r="D215" s="46"/>
      <c r="E215" s="46"/>
      <c r="F215" s="46"/>
      <c r="G215" s="46"/>
      <c r="H215" s="46"/>
      <c r="I215" s="46" t="s">
        <v>775</v>
      </c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</row>
    <row r="216" spans="1:24" x14ac:dyDescent="0.25">
      <c r="A216" s="46"/>
      <c r="B216" s="46"/>
      <c r="C216" s="46"/>
      <c r="D216" s="46"/>
      <c r="E216" s="46"/>
      <c r="F216" s="46"/>
      <c r="G216" s="46"/>
      <c r="H216" s="46"/>
      <c r="I216" s="46" t="s">
        <v>1047</v>
      </c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</row>
    <row r="217" spans="1:24" x14ac:dyDescent="0.25">
      <c r="A217" s="46"/>
      <c r="B217" s="46"/>
      <c r="C217" s="46"/>
      <c r="D217" s="46"/>
      <c r="E217" s="46"/>
      <c r="F217" s="46"/>
      <c r="G217" s="46"/>
      <c r="H217" s="46"/>
      <c r="I217" s="46" t="s">
        <v>1049</v>
      </c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</row>
    <row r="218" spans="1:24" x14ac:dyDescent="0.25">
      <c r="A218" s="46"/>
      <c r="B218" s="46"/>
      <c r="C218" s="46"/>
      <c r="D218" s="46"/>
      <c r="E218" s="46"/>
      <c r="F218" s="46"/>
      <c r="G218" s="46"/>
      <c r="H218" s="46"/>
      <c r="I218" s="46" t="s">
        <v>1050</v>
      </c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</row>
    <row r="219" spans="1:24" x14ac:dyDescent="0.25">
      <c r="A219" s="46"/>
      <c r="B219" s="46"/>
      <c r="C219" s="46"/>
      <c r="D219" s="46"/>
      <c r="E219" s="46"/>
      <c r="F219" s="46"/>
      <c r="G219" s="46"/>
      <c r="H219" s="46"/>
      <c r="I219" s="46" t="s">
        <v>1057</v>
      </c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</row>
    <row r="220" spans="1:24" x14ac:dyDescent="0.25">
      <c r="A220" s="46"/>
      <c r="B220" s="46"/>
      <c r="C220" s="46"/>
      <c r="D220" s="46"/>
      <c r="E220" s="46"/>
      <c r="F220" s="46"/>
      <c r="G220" s="46"/>
      <c r="H220" s="46"/>
      <c r="I220" s="46" t="s">
        <v>1053</v>
      </c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</row>
    <row r="221" spans="1:24" x14ac:dyDescent="0.25">
      <c r="A221" s="46"/>
      <c r="B221" s="46"/>
      <c r="C221" s="46"/>
      <c r="D221" s="46"/>
      <c r="E221" s="46"/>
      <c r="F221" s="46"/>
      <c r="G221" s="46"/>
      <c r="H221" s="46"/>
      <c r="I221" s="46" t="s">
        <v>1054</v>
      </c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</row>
    <row r="222" spans="1:24" x14ac:dyDescent="0.25">
      <c r="A222" s="46"/>
      <c r="B222" s="46"/>
      <c r="C222" s="46"/>
      <c r="D222" s="46"/>
      <c r="E222" s="46"/>
      <c r="F222" s="46"/>
      <c r="G222" s="46"/>
      <c r="H222" s="46"/>
      <c r="I222" s="46" t="s">
        <v>1061</v>
      </c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</row>
    <row r="223" spans="1:24" x14ac:dyDescent="0.25">
      <c r="A223" s="46"/>
      <c r="B223" s="46"/>
      <c r="C223" s="46"/>
      <c r="D223" s="46"/>
      <c r="E223" s="46"/>
      <c r="F223" s="46"/>
      <c r="G223" s="46"/>
      <c r="H223" s="46"/>
      <c r="I223" s="46" t="s">
        <v>1056</v>
      </c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</row>
    <row r="224" spans="1:24" x14ac:dyDescent="0.25">
      <c r="A224" s="46"/>
      <c r="B224" s="46"/>
      <c r="C224" s="46"/>
      <c r="D224" s="46"/>
      <c r="E224" s="46"/>
      <c r="F224" s="46"/>
      <c r="G224" s="46"/>
      <c r="H224" s="46"/>
      <c r="I224" s="46" t="s">
        <v>1058</v>
      </c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</row>
    <row r="225" spans="1:24" x14ac:dyDescent="0.25">
      <c r="A225" s="46"/>
      <c r="B225" s="46"/>
      <c r="C225" s="46"/>
      <c r="D225" s="46"/>
      <c r="E225" s="46"/>
      <c r="F225" s="46"/>
      <c r="G225" s="46"/>
      <c r="H225" s="46"/>
      <c r="I225" s="46" t="s">
        <v>1065</v>
      </c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</row>
    <row r="226" spans="1:24" x14ac:dyDescent="0.25">
      <c r="A226" s="46"/>
      <c r="B226" s="46"/>
      <c r="C226" s="46"/>
      <c r="D226" s="46"/>
      <c r="E226" s="46"/>
      <c r="F226" s="46"/>
      <c r="G226" s="46"/>
      <c r="H226" s="46"/>
      <c r="I226" s="46" t="s">
        <v>1067</v>
      </c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</row>
    <row r="227" spans="1:24" x14ac:dyDescent="0.25">
      <c r="A227" s="46"/>
      <c r="B227" s="46"/>
      <c r="C227" s="46"/>
      <c r="D227" s="46"/>
      <c r="E227" s="46"/>
      <c r="F227" s="46"/>
      <c r="G227" s="46"/>
      <c r="H227" s="46"/>
      <c r="I227" s="46" t="s">
        <v>1062</v>
      </c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</row>
    <row r="228" spans="1:24" x14ac:dyDescent="0.25">
      <c r="A228" s="46"/>
      <c r="B228" s="46"/>
      <c r="C228" s="46"/>
      <c r="D228" s="46"/>
      <c r="E228" s="46"/>
      <c r="F228" s="46"/>
      <c r="G228" s="46"/>
      <c r="H228" s="46"/>
      <c r="I228" s="46" t="s">
        <v>1063</v>
      </c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</row>
    <row r="229" spans="1:24" x14ac:dyDescent="0.25">
      <c r="A229" s="46"/>
      <c r="B229" s="46"/>
      <c r="C229" s="46"/>
      <c r="D229" s="46"/>
      <c r="E229" s="46"/>
      <c r="F229" s="46"/>
      <c r="G229" s="46"/>
      <c r="H229" s="46"/>
      <c r="I229" s="46" t="s">
        <v>1071</v>
      </c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</row>
    <row r="230" spans="1:24" x14ac:dyDescent="0.25">
      <c r="A230" s="46"/>
      <c r="B230" s="46"/>
      <c r="C230" s="46"/>
      <c r="D230" s="46"/>
      <c r="E230" s="46"/>
      <c r="F230" s="46"/>
      <c r="G230" s="46"/>
      <c r="H230" s="46"/>
      <c r="I230" s="46" t="s">
        <v>1073</v>
      </c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</row>
    <row r="231" spans="1:24" x14ac:dyDescent="0.25">
      <c r="A231" s="46"/>
      <c r="B231" s="46"/>
      <c r="C231" s="46"/>
      <c r="D231" s="46"/>
      <c r="E231" s="46"/>
      <c r="F231" s="46"/>
      <c r="G231" s="46"/>
      <c r="H231" s="46"/>
      <c r="I231" s="46" t="s">
        <v>1068</v>
      </c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</row>
    <row r="232" spans="1:24" x14ac:dyDescent="0.25">
      <c r="A232" s="46"/>
      <c r="B232" s="46"/>
      <c r="C232" s="46"/>
      <c r="D232" s="46"/>
      <c r="E232" s="46"/>
      <c r="F232" s="46"/>
      <c r="G232" s="46"/>
      <c r="H232" s="46"/>
      <c r="I232" s="46" t="s">
        <v>1069</v>
      </c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</row>
    <row r="233" spans="1:24" x14ac:dyDescent="0.25">
      <c r="A233" s="46"/>
      <c r="B233" s="46"/>
      <c r="C233" s="46"/>
      <c r="D233" s="46"/>
      <c r="E233" s="46"/>
      <c r="F233" s="46"/>
      <c r="G233" s="46"/>
      <c r="H233" s="46"/>
      <c r="I233" s="46" t="s">
        <v>1070</v>
      </c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</row>
    <row r="234" spans="1:24" x14ac:dyDescent="0.25">
      <c r="A234" s="46"/>
      <c r="B234" s="46"/>
      <c r="C234" s="46"/>
      <c r="D234" s="46"/>
      <c r="E234" s="46"/>
      <c r="F234" s="46"/>
      <c r="G234" s="46"/>
      <c r="H234" s="46"/>
      <c r="I234" s="46" t="s">
        <v>1078</v>
      </c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</row>
    <row r="235" spans="1:24" x14ac:dyDescent="0.25">
      <c r="A235" s="46"/>
      <c r="B235" s="46"/>
      <c r="C235" s="46"/>
      <c r="D235" s="46"/>
      <c r="E235" s="46"/>
      <c r="F235" s="46"/>
      <c r="G235" s="46"/>
      <c r="H235" s="46"/>
      <c r="I235" s="46" t="s">
        <v>1074</v>
      </c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</row>
    <row r="236" spans="1:24" x14ac:dyDescent="0.25">
      <c r="A236" s="46"/>
      <c r="B236" s="46"/>
      <c r="C236" s="46"/>
      <c r="D236" s="46"/>
      <c r="E236" s="46"/>
      <c r="F236" s="46"/>
      <c r="G236" s="46"/>
      <c r="H236" s="46"/>
      <c r="I236" s="46" t="s">
        <v>1075</v>
      </c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</row>
    <row r="237" spans="1:24" x14ac:dyDescent="0.25">
      <c r="A237" s="46"/>
      <c r="B237" s="46"/>
      <c r="C237" s="46"/>
      <c r="D237" s="46"/>
      <c r="E237" s="46"/>
      <c r="F237" s="46"/>
      <c r="G237" s="46"/>
      <c r="H237" s="46"/>
      <c r="I237" s="46" t="s">
        <v>1077</v>
      </c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</row>
    <row r="238" spans="1:24" x14ac:dyDescent="0.25">
      <c r="A238" s="46"/>
      <c r="B238" s="46"/>
      <c r="C238" s="46"/>
      <c r="D238" s="46"/>
      <c r="E238" s="46"/>
      <c r="F238" s="46"/>
      <c r="G238" s="46"/>
      <c r="H238" s="46"/>
      <c r="I238" s="46" t="s">
        <v>1083</v>
      </c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</row>
    <row r="239" spans="1:24" x14ac:dyDescent="0.25">
      <c r="A239" s="46"/>
      <c r="B239" s="46"/>
      <c r="C239" s="46"/>
      <c r="D239" s="46"/>
      <c r="E239" s="46"/>
      <c r="F239" s="46"/>
      <c r="G239" s="46"/>
      <c r="H239" s="46"/>
      <c r="I239" s="46" t="s">
        <v>1085</v>
      </c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</row>
    <row r="240" spans="1:24" x14ac:dyDescent="0.25">
      <c r="A240" s="46"/>
      <c r="B240" s="46"/>
      <c r="C240" s="46"/>
      <c r="D240" s="46"/>
      <c r="E240" s="46"/>
      <c r="F240" s="46"/>
      <c r="G240" s="46"/>
      <c r="H240" s="46"/>
      <c r="I240" s="46" t="s">
        <v>1081</v>
      </c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</row>
    <row r="241" spans="1:24" x14ac:dyDescent="0.25">
      <c r="A241" s="46"/>
      <c r="B241" s="46"/>
      <c r="C241" s="46"/>
      <c r="D241" s="47"/>
      <c r="E241" s="47"/>
      <c r="F241" s="46"/>
      <c r="G241" s="46"/>
      <c r="H241" s="46"/>
      <c r="I241" s="46" t="s">
        <v>1087</v>
      </c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</row>
    <row r="242" spans="1:24" x14ac:dyDescent="0.25">
      <c r="A242" s="46"/>
      <c r="B242" s="46"/>
      <c r="C242" s="46"/>
      <c r="F242" s="46"/>
      <c r="G242" s="47"/>
      <c r="H242" s="46"/>
      <c r="I242" s="46" t="s">
        <v>1088</v>
      </c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</row>
    <row r="243" spans="1:24" x14ac:dyDescent="0.25">
      <c r="A243" s="46"/>
      <c r="B243" s="46"/>
      <c r="C243" s="46"/>
      <c r="F243" s="47"/>
      <c r="H243" s="46"/>
      <c r="I243" s="46" t="s">
        <v>1089</v>
      </c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</row>
    <row r="244" spans="1:24" x14ac:dyDescent="0.25">
      <c r="A244" s="46"/>
      <c r="B244" s="46"/>
      <c r="C244" s="46"/>
      <c r="H244" s="46"/>
      <c r="I244" s="46" t="s">
        <v>1090</v>
      </c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</row>
    <row r="245" spans="1:24" x14ac:dyDescent="0.25">
      <c r="A245" s="47"/>
      <c r="B245" s="47"/>
      <c r="C245" s="47"/>
      <c r="H245" s="47"/>
      <c r="I245" s="47" t="s">
        <v>1091</v>
      </c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</row>
  </sheetData>
  <sortState xmlns:xlrd2="http://schemas.microsoft.com/office/spreadsheetml/2017/richdata2" ref="D2">
    <sortCondition ref="D2"/>
  </sortState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RowSourcesDE">
    <tabColor theme="3" tint="0.39997558519241921"/>
  </sheetPr>
  <dimension ref="A1:X240"/>
  <sheetViews>
    <sheetView workbookViewId="0">
      <selection activeCell="E1" sqref="E1"/>
    </sheetView>
  </sheetViews>
  <sheetFormatPr defaultColWidth="9.140625" defaultRowHeight="15" x14ac:dyDescent="0.25"/>
  <cols>
    <col min="1" max="1" width="29" bestFit="1" customWidth="1"/>
    <col min="2" max="2" width="45.5703125" bestFit="1" customWidth="1"/>
    <col min="3" max="3" width="21" bestFit="1" customWidth="1"/>
    <col min="4" max="7" width="21" customWidth="1"/>
    <col min="8" max="8" width="18.7109375" bestFit="1" customWidth="1"/>
    <col min="9" max="9" width="21.42578125" bestFit="1" customWidth="1"/>
    <col min="10" max="10" width="20" bestFit="1" customWidth="1"/>
    <col min="11" max="11" width="16.7109375" bestFit="1" customWidth="1"/>
    <col min="12" max="12" width="27.85546875" bestFit="1" customWidth="1"/>
    <col min="13" max="13" width="24.42578125" bestFit="1" customWidth="1"/>
    <col min="14" max="14" width="25.5703125" bestFit="1" customWidth="1"/>
    <col min="15" max="15" width="24.85546875" bestFit="1" customWidth="1"/>
    <col min="16" max="16" width="29.140625" bestFit="1" customWidth="1"/>
    <col min="17" max="17" width="27.7109375" bestFit="1" customWidth="1"/>
    <col min="18" max="18" width="43.85546875" bestFit="1" customWidth="1"/>
    <col min="19" max="19" width="49.140625" bestFit="1" customWidth="1"/>
    <col min="20" max="20" width="64.42578125" bestFit="1" customWidth="1"/>
    <col min="21" max="21" width="33.140625" bestFit="1" customWidth="1"/>
    <col min="22" max="22" width="21.42578125" bestFit="1" customWidth="1"/>
    <col min="23" max="23" width="15.42578125" bestFit="1" customWidth="1"/>
    <col min="24" max="24" width="24.42578125" bestFit="1" customWidth="1"/>
  </cols>
  <sheetData>
    <row r="1" spans="1:24" s="43" customFormat="1" x14ac:dyDescent="0.25">
      <c r="A1" s="51" t="s">
        <v>1879</v>
      </c>
      <c r="B1" s="51" t="s">
        <v>98</v>
      </c>
      <c r="C1" s="51" t="s">
        <v>1883</v>
      </c>
      <c r="D1" s="51" t="s">
        <v>1952</v>
      </c>
      <c r="E1" s="52" t="s">
        <v>1953</v>
      </c>
      <c r="F1" s="52" t="s">
        <v>1954</v>
      </c>
      <c r="G1" s="52" t="s">
        <v>1955</v>
      </c>
      <c r="H1" s="51" t="s">
        <v>140</v>
      </c>
      <c r="I1" s="51" t="s">
        <v>109</v>
      </c>
      <c r="J1" s="51" t="s">
        <v>1884</v>
      </c>
      <c r="K1" s="51" t="s">
        <v>110</v>
      </c>
      <c r="L1" s="51" t="s">
        <v>130</v>
      </c>
      <c r="M1" s="51" t="s">
        <v>1885</v>
      </c>
      <c r="N1" s="51" t="s">
        <v>135</v>
      </c>
      <c r="O1" s="51" t="s">
        <v>1886</v>
      </c>
      <c r="P1" s="51" t="s">
        <v>1887</v>
      </c>
      <c r="Q1" s="51" t="s">
        <v>216</v>
      </c>
      <c r="R1" s="51" t="s">
        <v>1888</v>
      </c>
      <c r="S1" s="51" t="s">
        <v>1889</v>
      </c>
      <c r="T1" s="51" t="s">
        <v>152</v>
      </c>
      <c r="U1" s="51" t="s">
        <v>94</v>
      </c>
      <c r="V1" s="51" t="s">
        <v>1890</v>
      </c>
      <c r="W1" s="51" t="s">
        <v>1891</v>
      </c>
      <c r="X1" s="51" t="s">
        <v>1892</v>
      </c>
    </row>
    <row r="2" spans="1:24" x14ac:dyDescent="0.25">
      <c r="A2" t="s">
        <v>1869</v>
      </c>
      <c r="B2" t="s">
        <v>0</v>
      </c>
      <c r="C2" t="s">
        <v>39</v>
      </c>
      <c r="D2" t="s">
        <v>40</v>
      </c>
      <c r="E2" t="s">
        <v>24</v>
      </c>
      <c r="F2" t="s">
        <v>24</v>
      </c>
      <c r="G2" t="s">
        <v>24</v>
      </c>
      <c r="H2" t="s">
        <v>1367</v>
      </c>
      <c r="I2" t="s">
        <v>369</v>
      </c>
      <c r="J2" t="s">
        <v>370</v>
      </c>
      <c r="K2" t="s">
        <v>5</v>
      </c>
      <c r="L2" t="s">
        <v>9</v>
      </c>
      <c r="M2" t="s">
        <v>96</v>
      </c>
      <c r="N2" t="s">
        <v>374</v>
      </c>
      <c r="O2" t="s">
        <v>6</v>
      </c>
      <c r="P2" t="s">
        <v>375</v>
      </c>
      <c r="Q2" t="s">
        <v>376</v>
      </c>
      <c r="R2" t="s">
        <v>378</v>
      </c>
      <c r="S2" t="s">
        <v>380</v>
      </c>
      <c r="T2" t="s">
        <v>382</v>
      </c>
      <c r="U2" t="s">
        <v>384</v>
      </c>
      <c r="V2" t="s">
        <v>386</v>
      </c>
      <c r="W2" t="s">
        <v>387</v>
      </c>
      <c r="X2" t="s">
        <v>388</v>
      </c>
    </row>
    <row r="3" spans="1:24" x14ac:dyDescent="0.25">
      <c r="A3" t="s">
        <v>1871</v>
      </c>
      <c r="B3" t="s">
        <v>37</v>
      </c>
      <c r="C3" t="s">
        <v>1867</v>
      </c>
      <c r="E3" s="46"/>
      <c r="F3" s="46" t="s">
        <v>1882</v>
      </c>
      <c r="G3" s="46" t="s">
        <v>1881</v>
      </c>
      <c r="H3" t="s">
        <v>1106</v>
      </c>
      <c r="I3" t="s">
        <v>389</v>
      </c>
      <c r="J3" t="s">
        <v>391</v>
      </c>
      <c r="K3" t="s">
        <v>26</v>
      </c>
      <c r="L3" t="s">
        <v>53</v>
      </c>
      <c r="M3" t="s">
        <v>393</v>
      </c>
      <c r="N3" t="s">
        <v>395</v>
      </c>
      <c r="O3" t="s">
        <v>392</v>
      </c>
      <c r="P3" t="s">
        <v>397</v>
      </c>
      <c r="Q3" t="s">
        <v>14</v>
      </c>
      <c r="R3" t="s">
        <v>398</v>
      </c>
      <c r="S3" t="s">
        <v>400</v>
      </c>
      <c r="T3" t="s">
        <v>402</v>
      </c>
      <c r="U3" t="s">
        <v>17</v>
      </c>
      <c r="V3" t="s">
        <v>404</v>
      </c>
      <c r="W3" t="s">
        <v>406</v>
      </c>
      <c r="X3" t="s">
        <v>407</v>
      </c>
    </row>
    <row r="4" spans="1:24" x14ac:dyDescent="0.25">
      <c r="A4" t="s">
        <v>1872</v>
      </c>
      <c r="C4" t="s">
        <v>1</v>
      </c>
      <c r="E4" s="46"/>
      <c r="F4" s="46" t="s">
        <v>43</v>
      </c>
      <c r="G4" s="46"/>
      <c r="H4" t="s">
        <v>1402</v>
      </c>
      <c r="I4" t="s">
        <v>408</v>
      </c>
      <c r="J4" t="s">
        <v>409</v>
      </c>
      <c r="K4" t="s">
        <v>411</v>
      </c>
      <c r="L4" t="s">
        <v>412</v>
      </c>
      <c r="N4" t="s">
        <v>415</v>
      </c>
      <c r="O4" t="s">
        <v>414</v>
      </c>
      <c r="P4" t="s">
        <v>416</v>
      </c>
      <c r="Q4" t="s">
        <v>417</v>
      </c>
      <c r="R4" t="s">
        <v>419</v>
      </c>
      <c r="S4" t="s">
        <v>421</v>
      </c>
      <c r="T4" t="s">
        <v>423</v>
      </c>
      <c r="U4" t="s">
        <v>425</v>
      </c>
      <c r="V4" t="s">
        <v>427</v>
      </c>
      <c r="X4" t="s">
        <v>429</v>
      </c>
    </row>
    <row r="5" spans="1:24" x14ac:dyDescent="0.25">
      <c r="A5" t="s">
        <v>1873</v>
      </c>
      <c r="C5" t="s">
        <v>1868</v>
      </c>
      <c r="I5" t="s">
        <v>431</v>
      </c>
      <c r="J5" t="s">
        <v>433</v>
      </c>
      <c r="K5" t="s">
        <v>52</v>
      </c>
      <c r="L5" t="s">
        <v>436</v>
      </c>
      <c r="N5" t="s">
        <v>438</v>
      </c>
      <c r="O5" t="s">
        <v>44</v>
      </c>
      <c r="P5" t="s">
        <v>439</v>
      </c>
      <c r="Q5" t="s">
        <v>440</v>
      </c>
      <c r="R5" t="s">
        <v>442</v>
      </c>
      <c r="S5" t="s">
        <v>444</v>
      </c>
      <c r="T5" t="s">
        <v>446</v>
      </c>
      <c r="U5" t="s">
        <v>448</v>
      </c>
      <c r="X5" t="s">
        <v>450</v>
      </c>
    </row>
    <row r="6" spans="1:24" x14ac:dyDescent="0.25">
      <c r="A6" t="s">
        <v>1874</v>
      </c>
      <c r="I6" t="s">
        <v>452</v>
      </c>
      <c r="J6" t="s">
        <v>453</v>
      </c>
      <c r="K6" t="s">
        <v>455</v>
      </c>
      <c r="L6" t="s">
        <v>457</v>
      </c>
      <c r="N6" t="s">
        <v>459</v>
      </c>
      <c r="P6" t="s">
        <v>82</v>
      </c>
      <c r="Q6" t="s">
        <v>460</v>
      </c>
      <c r="R6" t="s">
        <v>462</v>
      </c>
      <c r="S6" t="s">
        <v>464</v>
      </c>
      <c r="T6" t="s">
        <v>466</v>
      </c>
      <c r="U6" t="s">
        <v>468</v>
      </c>
      <c r="X6" t="s">
        <v>470</v>
      </c>
    </row>
    <row r="7" spans="1:24" x14ac:dyDescent="0.25">
      <c r="A7" t="s">
        <v>1875</v>
      </c>
      <c r="I7" t="s">
        <v>471</v>
      </c>
      <c r="J7" t="s">
        <v>473</v>
      </c>
      <c r="K7" t="s">
        <v>475</v>
      </c>
      <c r="L7" t="s">
        <v>477</v>
      </c>
      <c r="N7" t="s">
        <v>479</v>
      </c>
      <c r="P7" t="s">
        <v>13</v>
      </c>
      <c r="Q7" t="s">
        <v>480</v>
      </c>
      <c r="R7" t="s">
        <v>482</v>
      </c>
      <c r="T7" t="s">
        <v>484</v>
      </c>
      <c r="U7" t="s">
        <v>486</v>
      </c>
      <c r="X7" t="s">
        <v>488</v>
      </c>
    </row>
    <row r="8" spans="1:24" x14ac:dyDescent="0.25">
      <c r="A8" t="s">
        <v>1876</v>
      </c>
      <c r="I8" t="s">
        <v>490</v>
      </c>
      <c r="J8" t="s">
        <v>492</v>
      </c>
      <c r="K8" t="s">
        <v>494</v>
      </c>
      <c r="L8" t="s">
        <v>88</v>
      </c>
      <c r="N8" t="s">
        <v>497</v>
      </c>
      <c r="R8" t="s">
        <v>498</v>
      </c>
      <c r="T8" t="s">
        <v>500</v>
      </c>
      <c r="X8" t="s">
        <v>502</v>
      </c>
    </row>
    <row r="9" spans="1:24" x14ac:dyDescent="0.25">
      <c r="I9" t="s">
        <v>503</v>
      </c>
      <c r="J9" t="s">
        <v>505</v>
      </c>
      <c r="K9" t="s">
        <v>1093</v>
      </c>
      <c r="L9" t="s">
        <v>507</v>
      </c>
      <c r="N9" t="s">
        <v>509</v>
      </c>
      <c r="R9" t="s">
        <v>510</v>
      </c>
      <c r="T9" t="s">
        <v>512</v>
      </c>
      <c r="X9" t="s">
        <v>20</v>
      </c>
    </row>
    <row r="10" spans="1:24" x14ac:dyDescent="0.25">
      <c r="I10" t="s">
        <v>514</v>
      </c>
      <c r="J10" t="s">
        <v>515</v>
      </c>
      <c r="L10" t="s">
        <v>517</v>
      </c>
      <c r="N10" t="s">
        <v>519</v>
      </c>
      <c r="T10" t="s">
        <v>520</v>
      </c>
      <c r="X10" t="s">
        <v>21</v>
      </c>
    </row>
    <row r="11" spans="1:24" x14ac:dyDescent="0.25">
      <c r="I11" t="s">
        <v>521</v>
      </c>
      <c r="J11" t="s">
        <v>523</v>
      </c>
      <c r="L11" t="s">
        <v>525</v>
      </c>
      <c r="N11" t="s">
        <v>527</v>
      </c>
      <c r="T11" t="s">
        <v>528</v>
      </c>
      <c r="X11" t="s">
        <v>530</v>
      </c>
    </row>
    <row r="12" spans="1:24" x14ac:dyDescent="0.25">
      <c r="I12" t="s">
        <v>532</v>
      </c>
      <c r="J12" t="s">
        <v>534</v>
      </c>
      <c r="L12" t="s">
        <v>87</v>
      </c>
      <c r="N12" t="s">
        <v>537</v>
      </c>
      <c r="T12" t="s">
        <v>538</v>
      </c>
    </row>
    <row r="13" spans="1:24" x14ac:dyDescent="0.25">
      <c r="I13" t="s">
        <v>540</v>
      </c>
      <c r="J13" t="s">
        <v>541</v>
      </c>
      <c r="N13" t="s">
        <v>543</v>
      </c>
      <c r="T13" t="s">
        <v>544</v>
      </c>
    </row>
    <row r="14" spans="1:24" x14ac:dyDescent="0.25">
      <c r="I14" t="s">
        <v>546</v>
      </c>
      <c r="J14" t="s">
        <v>548</v>
      </c>
      <c r="N14" t="s">
        <v>550</v>
      </c>
      <c r="T14" t="s">
        <v>552</v>
      </c>
    </row>
    <row r="15" spans="1:24" x14ac:dyDescent="0.25">
      <c r="I15" t="s">
        <v>554</v>
      </c>
      <c r="J15" t="s">
        <v>556</v>
      </c>
      <c r="N15" t="s">
        <v>558</v>
      </c>
      <c r="T15" t="s">
        <v>560</v>
      </c>
    </row>
    <row r="16" spans="1:24" x14ac:dyDescent="0.25">
      <c r="I16" t="s">
        <v>562</v>
      </c>
      <c r="J16" t="s">
        <v>563</v>
      </c>
      <c r="N16" t="s">
        <v>565</v>
      </c>
      <c r="T16" t="s">
        <v>567</v>
      </c>
    </row>
    <row r="17" spans="9:20" x14ac:dyDescent="0.25">
      <c r="I17" t="s">
        <v>569</v>
      </c>
      <c r="J17" t="s">
        <v>571</v>
      </c>
      <c r="N17" t="s">
        <v>572</v>
      </c>
      <c r="T17" t="s">
        <v>574</v>
      </c>
    </row>
    <row r="18" spans="9:20" x14ac:dyDescent="0.25">
      <c r="I18" t="s">
        <v>576</v>
      </c>
      <c r="J18" t="s">
        <v>578</v>
      </c>
      <c r="N18" t="s">
        <v>580</v>
      </c>
      <c r="T18" t="s">
        <v>582</v>
      </c>
    </row>
    <row r="19" spans="9:20" x14ac:dyDescent="0.25">
      <c r="I19" t="s">
        <v>584</v>
      </c>
      <c r="J19" t="s">
        <v>585</v>
      </c>
      <c r="N19" t="s">
        <v>587</v>
      </c>
      <c r="T19" t="s">
        <v>589</v>
      </c>
    </row>
    <row r="20" spans="9:20" x14ac:dyDescent="0.25">
      <c r="I20" t="s">
        <v>591</v>
      </c>
      <c r="J20" t="s">
        <v>592</v>
      </c>
      <c r="N20" t="s">
        <v>594</v>
      </c>
      <c r="T20" t="s">
        <v>596</v>
      </c>
    </row>
    <row r="21" spans="9:20" x14ac:dyDescent="0.25">
      <c r="I21" t="s">
        <v>598</v>
      </c>
      <c r="J21" t="s">
        <v>599</v>
      </c>
      <c r="N21" t="s">
        <v>601</v>
      </c>
      <c r="T21" t="s">
        <v>602</v>
      </c>
    </row>
    <row r="22" spans="9:20" x14ac:dyDescent="0.25">
      <c r="I22" t="s">
        <v>604</v>
      </c>
      <c r="J22" t="s">
        <v>605</v>
      </c>
      <c r="N22" t="s">
        <v>607</v>
      </c>
      <c r="T22" t="s">
        <v>609</v>
      </c>
    </row>
    <row r="23" spans="9:20" x14ac:dyDescent="0.25">
      <c r="I23" t="s">
        <v>611</v>
      </c>
      <c r="J23" t="s">
        <v>612</v>
      </c>
      <c r="N23" t="s">
        <v>48</v>
      </c>
      <c r="T23" t="s">
        <v>614</v>
      </c>
    </row>
    <row r="24" spans="9:20" x14ac:dyDescent="0.25">
      <c r="I24" t="s">
        <v>616</v>
      </c>
      <c r="J24" t="s">
        <v>617</v>
      </c>
      <c r="N24" t="s">
        <v>618</v>
      </c>
      <c r="T24" t="s">
        <v>620</v>
      </c>
    </row>
    <row r="25" spans="9:20" x14ac:dyDescent="0.25">
      <c r="I25" t="s">
        <v>622</v>
      </c>
      <c r="J25" t="s">
        <v>623</v>
      </c>
      <c r="N25" t="s">
        <v>625</v>
      </c>
      <c r="T25" t="s">
        <v>626</v>
      </c>
    </row>
    <row r="26" spans="9:20" x14ac:dyDescent="0.25">
      <c r="I26" t="s">
        <v>628</v>
      </c>
      <c r="J26" t="s">
        <v>629</v>
      </c>
      <c r="N26" t="s">
        <v>631</v>
      </c>
      <c r="T26" t="s">
        <v>633</v>
      </c>
    </row>
    <row r="27" spans="9:20" x14ac:dyDescent="0.25">
      <c r="I27" t="s">
        <v>635</v>
      </c>
      <c r="J27" t="s">
        <v>636</v>
      </c>
      <c r="N27" t="s">
        <v>638</v>
      </c>
      <c r="T27" t="s">
        <v>639</v>
      </c>
    </row>
    <row r="28" spans="9:20" x14ac:dyDescent="0.25">
      <c r="I28" t="s">
        <v>641</v>
      </c>
      <c r="J28" t="s">
        <v>643</v>
      </c>
      <c r="N28" t="s">
        <v>645</v>
      </c>
      <c r="T28" t="s">
        <v>646</v>
      </c>
    </row>
    <row r="29" spans="9:20" x14ac:dyDescent="0.25">
      <c r="I29" t="s">
        <v>648</v>
      </c>
      <c r="N29" t="s">
        <v>650</v>
      </c>
      <c r="T29" t="s">
        <v>651</v>
      </c>
    </row>
    <row r="30" spans="9:20" x14ac:dyDescent="0.25">
      <c r="I30" t="s">
        <v>653</v>
      </c>
      <c r="N30" t="s">
        <v>655</v>
      </c>
      <c r="T30" t="s">
        <v>656</v>
      </c>
    </row>
    <row r="31" spans="9:20" x14ac:dyDescent="0.25">
      <c r="I31" t="s">
        <v>657</v>
      </c>
      <c r="N31" t="s">
        <v>658</v>
      </c>
      <c r="T31" t="s">
        <v>659</v>
      </c>
    </row>
    <row r="32" spans="9:20" x14ac:dyDescent="0.25">
      <c r="I32" t="s">
        <v>661</v>
      </c>
      <c r="N32" t="s">
        <v>662</v>
      </c>
      <c r="T32" t="s">
        <v>663</v>
      </c>
    </row>
    <row r="33" spans="9:20" x14ac:dyDescent="0.25">
      <c r="I33" t="s">
        <v>664</v>
      </c>
      <c r="N33" t="s">
        <v>666</v>
      </c>
      <c r="T33" t="s">
        <v>667</v>
      </c>
    </row>
    <row r="34" spans="9:20" x14ac:dyDescent="0.25">
      <c r="I34" t="s">
        <v>669</v>
      </c>
      <c r="N34" t="s">
        <v>671</v>
      </c>
      <c r="T34" t="s">
        <v>672</v>
      </c>
    </row>
    <row r="35" spans="9:20" x14ac:dyDescent="0.25">
      <c r="I35" t="s">
        <v>674</v>
      </c>
      <c r="N35" t="s">
        <v>676</v>
      </c>
      <c r="T35" t="s">
        <v>677</v>
      </c>
    </row>
    <row r="36" spans="9:20" x14ac:dyDescent="0.25">
      <c r="I36" t="s">
        <v>679</v>
      </c>
      <c r="N36" t="s">
        <v>680</v>
      </c>
      <c r="T36" t="s">
        <v>681</v>
      </c>
    </row>
    <row r="37" spans="9:20" x14ac:dyDescent="0.25">
      <c r="I37" t="s">
        <v>683</v>
      </c>
      <c r="N37" t="s">
        <v>685</v>
      </c>
      <c r="T37" t="s">
        <v>686</v>
      </c>
    </row>
    <row r="38" spans="9:20" x14ac:dyDescent="0.25">
      <c r="I38" t="s">
        <v>688</v>
      </c>
      <c r="N38" t="s">
        <v>690</v>
      </c>
      <c r="T38" t="s">
        <v>691</v>
      </c>
    </row>
    <row r="39" spans="9:20" x14ac:dyDescent="0.25">
      <c r="I39" t="s">
        <v>693</v>
      </c>
      <c r="N39" t="s">
        <v>695</v>
      </c>
      <c r="T39" t="s">
        <v>696</v>
      </c>
    </row>
    <row r="40" spans="9:20" x14ac:dyDescent="0.25">
      <c r="I40" t="s">
        <v>698</v>
      </c>
      <c r="N40" t="s">
        <v>700</v>
      </c>
      <c r="T40" t="s">
        <v>701</v>
      </c>
    </row>
    <row r="41" spans="9:20" x14ac:dyDescent="0.25">
      <c r="I41" t="s">
        <v>703</v>
      </c>
      <c r="N41" t="s">
        <v>705</v>
      </c>
      <c r="T41" t="s">
        <v>706</v>
      </c>
    </row>
    <row r="42" spans="9:20" x14ac:dyDescent="0.25">
      <c r="I42" t="s">
        <v>708</v>
      </c>
      <c r="N42" t="s">
        <v>710</v>
      </c>
      <c r="T42" t="s">
        <v>711</v>
      </c>
    </row>
    <row r="43" spans="9:20" x14ac:dyDescent="0.25">
      <c r="I43" t="s">
        <v>713</v>
      </c>
      <c r="N43" t="s">
        <v>715</v>
      </c>
      <c r="T43" t="s">
        <v>716</v>
      </c>
    </row>
    <row r="44" spans="9:20" x14ac:dyDescent="0.25">
      <c r="I44" t="s">
        <v>718</v>
      </c>
      <c r="N44" t="s">
        <v>720</v>
      </c>
      <c r="T44" t="s">
        <v>721</v>
      </c>
    </row>
    <row r="45" spans="9:20" x14ac:dyDescent="0.25">
      <c r="I45" t="s">
        <v>719</v>
      </c>
      <c r="N45" t="s">
        <v>724</v>
      </c>
      <c r="T45" t="s">
        <v>725</v>
      </c>
    </row>
    <row r="46" spans="9:20" x14ac:dyDescent="0.25">
      <c r="I46" t="s">
        <v>727</v>
      </c>
      <c r="N46" t="s">
        <v>729</v>
      </c>
      <c r="T46" t="s">
        <v>730</v>
      </c>
    </row>
    <row r="47" spans="9:20" x14ac:dyDescent="0.25">
      <c r="I47" t="s">
        <v>732</v>
      </c>
      <c r="N47" t="s">
        <v>734</v>
      </c>
      <c r="T47" t="s">
        <v>735</v>
      </c>
    </row>
    <row r="48" spans="9:20" x14ac:dyDescent="0.25">
      <c r="I48" t="s">
        <v>737</v>
      </c>
      <c r="N48" t="s">
        <v>739</v>
      </c>
      <c r="T48" t="s">
        <v>740</v>
      </c>
    </row>
    <row r="49" spans="9:20" x14ac:dyDescent="0.25">
      <c r="I49" t="s">
        <v>738</v>
      </c>
      <c r="N49" t="s">
        <v>743</v>
      </c>
      <c r="T49" t="s">
        <v>744</v>
      </c>
    </row>
    <row r="50" spans="9:20" x14ac:dyDescent="0.25">
      <c r="I50" t="s">
        <v>745</v>
      </c>
      <c r="N50" t="s">
        <v>747</v>
      </c>
      <c r="T50" t="s">
        <v>748</v>
      </c>
    </row>
    <row r="51" spans="9:20" x14ac:dyDescent="0.25">
      <c r="I51" t="s">
        <v>750</v>
      </c>
      <c r="N51" t="s">
        <v>752</v>
      </c>
      <c r="T51" t="s">
        <v>753</v>
      </c>
    </row>
    <row r="52" spans="9:20" x14ac:dyDescent="0.25">
      <c r="I52" t="s">
        <v>755</v>
      </c>
      <c r="N52" t="s">
        <v>756</v>
      </c>
      <c r="T52" t="s">
        <v>757</v>
      </c>
    </row>
    <row r="53" spans="9:20" x14ac:dyDescent="0.25">
      <c r="I53" t="s">
        <v>759</v>
      </c>
      <c r="N53" t="s">
        <v>760</v>
      </c>
      <c r="T53" t="s">
        <v>761</v>
      </c>
    </row>
    <row r="54" spans="9:20" x14ac:dyDescent="0.25">
      <c r="I54" t="s">
        <v>763</v>
      </c>
      <c r="N54" t="s">
        <v>765</v>
      </c>
      <c r="T54" t="s">
        <v>766</v>
      </c>
    </row>
    <row r="55" spans="9:20" x14ac:dyDescent="0.25">
      <c r="I55" t="s">
        <v>4</v>
      </c>
      <c r="N55" t="s">
        <v>769</v>
      </c>
      <c r="T55" t="s">
        <v>770</v>
      </c>
    </row>
    <row r="56" spans="9:20" x14ac:dyDescent="0.25">
      <c r="I56" t="s">
        <v>772</v>
      </c>
      <c r="N56" t="s">
        <v>773</v>
      </c>
      <c r="T56" t="s">
        <v>774</v>
      </c>
    </row>
    <row r="57" spans="9:20" x14ac:dyDescent="0.25">
      <c r="I57" t="s">
        <v>776</v>
      </c>
      <c r="N57" t="s">
        <v>778</v>
      </c>
      <c r="T57" t="s">
        <v>779</v>
      </c>
    </row>
    <row r="58" spans="9:20" x14ac:dyDescent="0.25">
      <c r="I58" t="s">
        <v>777</v>
      </c>
      <c r="N58" t="s">
        <v>782</v>
      </c>
      <c r="T58" t="s">
        <v>783</v>
      </c>
    </row>
    <row r="59" spans="9:20" x14ac:dyDescent="0.25">
      <c r="I59" t="s">
        <v>785</v>
      </c>
      <c r="N59" t="s">
        <v>787</v>
      </c>
      <c r="T59" t="s">
        <v>788</v>
      </c>
    </row>
    <row r="60" spans="9:20" x14ac:dyDescent="0.25">
      <c r="I60" t="s">
        <v>790</v>
      </c>
      <c r="N60" t="s">
        <v>792</v>
      </c>
      <c r="T60" t="s">
        <v>793</v>
      </c>
    </row>
    <row r="61" spans="9:20" x14ac:dyDescent="0.25">
      <c r="I61" t="s">
        <v>791</v>
      </c>
      <c r="N61" t="s">
        <v>795</v>
      </c>
      <c r="T61" t="s">
        <v>796</v>
      </c>
    </row>
    <row r="62" spans="9:20" x14ac:dyDescent="0.25">
      <c r="I62" t="s">
        <v>798</v>
      </c>
      <c r="N62" t="s">
        <v>800</v>
      </c>
      <c r="T62" t="s">
        <v>801</v>
      </c>
    </row>
    <row r="63" spans="9:20" x14ac:dyDescent="0.25">
      <c r="I63" t="s">
        <v>803</v>
      </c>
      <c r="N63" t="s">
        <v>805</v>
      </c>
      <c r="T63" t="s">
        <v>806</v>
      </c>
    </row>
    <row r="64" spans="9:20" x14ac:dyDescent="0.25">
      <c r="I64" t="s">
        <v>804</v>
      </c>
      <c r="N64" t="s">
        <v>809</v>
      </c>
      <c r="T64" t="s">
        <v>810</v>
      </c>
    </row>
    <row r="65" spans="9:20" x14ac:dyDescent="0.25">
      <c r="I65" t="s">
        <v>808</v>
      </c>
      <c r="N65" t="s">
        <v>812</v>
      </c>
      <c r="T65" t="s">
        <v>813</v>
      </c>
    </row>
    <row r="66" spans="9:20" x14ac:dyDescent="0.25">
      <c r="I66" t="s">
        <v>815</v>
      </c>
      <c r="N66" t="s">
        <v>817</v>
      </c>
      <c r="T66" t="s">
        <v>818</v>
      </c>
    </row>
    <row r="67" spans="9:20" x14ac:dyDescent="0.25">
      <c r="I67" t="s">
        <v>820</v>
      </c>
      <c r="N67" t="s">
        <v>821</v>
      </c>
      <c r="T67" t="s">
        <v>822</v>
      </c>
    </row>
    <row r="68" spans="9:20" x14ac:dyDescent="0.25">
      <c r="I68" t="s">
        <v>823</v>
      </c>
      <c r="N68" t="s">
        <v>825</v>
      </c>
    </row>
    <row r="69" spans="9:20" x14ac:dyDescent="0.25">
      <c r="I69" t="s">
        <v>826</v>
      </c>
      <c r="N69" t="s">
        <v>828</v>
      </c>
    </row>
    <row r="70" spans="9:20" x14ac:dyDescent="0.25">
      <c r="I70" t="s">
        <v>829</v>
      </c>
      <c r="N70" t="s">
        <v>831</v>
      </c>
    </row>
    <row r="71" spans="9:20" x14ac:dyDescent="0.25">
      <c r="I71" t="s">
        <v>832</v>
      </c>
      <c r="N71" t="s">
        <v>834</v>
      </c>
    </row>
    <row r="72" spans="9:20" x14ac:dyDescent="0.25">
      <c r="I72" t="s">
        <v>835</v>
      </c>
      <c r="N72" t="s">
        <v>836</v>
      </c>
    </row>
    <row r="73" spans="9:20" x14ac:dyDescent="0.25">
      <c r="I73" t="s">
        <v>51</v>
      </c>
      <c r="N73" t="s">
        <v>838</v>
      </c>
    </row>
    <row r="74" spans="9:20" x14ac:dyDescent="0.25">
      <c r="I74" t="s">
        <v>839</v>
      </c>
      <c r="N74" t="s">
        <v>840</v>
      </c>
    </row>
    <row r="75" spans="9:20" x14ac:dyDescent="0.25">
      <c r="I75" t="s">
        <v>637</v>
      </c>
      <c r="N75" t="s">
        <v>842</v>
      </c>
    </row>
    <row r="76" spans="9:20" x14ac:dyDescent="0.25">
      <c r="I76" t="s">
        <v>841</v>
      </c>
      <c r="N76" t="s">
        <v>844</v>
      </c>
    </row>
    <row r="77" spans="9:20" x14ac:dyDescent="0.25">
      <c r="I77" t="s">
        <v>845</v>
      </c>
      <c r="N77" t="s">
        <v>847</v>
      </c>
    </row>
    <row r="78" spans="9:20" x14ac:dyDescent="0.25">
      <c r="I78" t="s">
        <v>848</v>
      </c>
      <c r="N78" t="s">
        <v>849</v>
      </c>
    </row>
    <row r="79" spans="9:20" x14ac:dyDescent="0.25">
      <c r="I79" t="s">
        <v>850</v>
      </c>
      <c r="N79" t="s">
        <v>851</v>
      </c>
    </row>
    <row r="80" spans="9:20" x14ac:dyDescent="0.25">
      <c r="I80" t="s">
        <v>852</v>
      </c>
      <c r="N80" t="s">
        <v>854</v>
      </c>
    </row>
    <row r="81" spans="9:14" x14ac:dyDescent="0.25">
      <c r="I81" t="s">
        <v>855</v>
      </c>
      <c r="N81" t="s">
        <v>856</v>
      </c>
    </row>
    <row r="82" spans="9:14" x14ac:dyDescent="0.25">
      <c r="I82" t="s">
        <v>857</v>
      </c>
      <c r="N82" t="s">
        <v>858</v>
      </c>
    </row>
    <row r="83" spans="9:14" x14ac:dyDescent="0.25">
      <c r="I83" t="s">
        <v>859</v>
      </c>
    </row>
    <row r="84" spans="9:14" x14ac:dyDescent="0.25">
      <c r="I84" t="s">
        <v>861</v>
      </c>
    </row>
    <row r="85" spans="9:14" x14ac:dyDescent="0.25">
      <c r="I85" t="s">
        <v>863</v>
      </c>
    </row>
    <row r="86" spans="9:14" x14ac:dyDescent="0.25">
      <c r="I86" t="s">
        <v>864</v>
      </c>
    </row>
    <row r="87" spans="9:14" x14ac:dyDescent="0.25">
      <c r="I87" t="s">
        <v>866</v>
      </c>
    </row>
    <row r="88" spans="9:14" x14ac:dyDescent="0.25">
      <c r="I88" t="s">
        <v>867</v>
      </c>
    </row>
    <row r="89" spans="9:14" x14ac:dyDescent="0.25">
      <c r="I89" t="s">
        <v>868</v>
      </c>
    </row>
    <row r="90" spans="9:14" x14ac:dyDescent="0.25">
      <c r="I90" t="s">
        <v>869</v>
      </c>
    </row>
    <row r="91" spans="9:14" x14ac:dyDescent="0.25">
      <c r="I91" t="s">
        <v>870</v>
      </c>
    </row>
    <row r="92" spans="9:14" x14ac:dyDescent="0.25">
      <c r="I92" t="s">
        <v>872</v>
      </c>
    </row>
    <row r="93" spans="9:14" x14ac:dyDescent="0.25">
      <c r="I93" t="s">
        <v>874</v>
      </c>
    </row>
    <row r="94" spans="9:14" x14ac:dyDescent="0.25">
      <c r="I94" t="s">
        <v>875</v>
      </c>
    </row>
    <row r="95" spans="9:14" x14ac:dyDescent="0.25">
      <c r="I95" t="s">
        <v>876</v>
      </c>
    </row>
    <row r="96" spans="9:14" x14ac:dyDescent="0.25">
      <c r="I96" t="s">
        <v>877</v>
      </c>
    </row>
    <row r="97" spans="9:9" x14ac:dyDescent="0.25">
      <c r="I97" t="s">
        <v>878</v>
      </c>
    </row>
    <row r="98" spans="9:9" x14ac:dyDescent="0.25">
      <c r="I98" t="s">
        <v>880</v>
      </c>
    </row>
    <row r="99" spans="9:9" x14ac:dyDescent="0.25">
      <c r="I99" t="s">
        <v>881</v>
      </c>
    </row>
    <row r="100" spans="9:9" x14ac:dyDescent="0.25">
      <c r="I100" t="s">
        <v>882</v>
      </c>
    </row>
    <row r="101" spans="9:9" x14ac:dyDescent="0.25">
      <c r="I101" t="s">
        <v>884</v>
      </c>
    </row>
    <row r="102" spans="9:9" x14ac:dyDescent="0.25">
      <c r="I102" t="s">
        <v>886</v>
      </c>
    </row>
    <row r="103" spans="9:9" x14ac:dyDescent="0.25">
      <c r="I103" t="s">
        <v>888</v>
      </c>
    </row>
    <row r="104" spans="9:9" x14ac:dyDescent="0.25">
      <c r="I104" t="s">
        <v>889</v>
      </c>
    </row>
    <row r="105" spans="9:9" x14ac:dyDescent="0.25">
      <c r="I105" t="s">
        <v>891</v>
      </c>
    </row>
    <row r="106" spans="9:9" x14ac:dyDescent="0.25">
      <c r="I106" t="s">
        <v>892</v>
      </c>
    </row>
    <row r="107" spans="9:9" x14ac:dyDescent="0.25">
      <c r="I107" t="s">
        <v>894</v>
      </c>
    </row>
    <row r="108" spans="9:9" x14ac:dyDescent="0.25">
      <c r="I108" t="s">
        <v>896</v>
      </c>
    </row>
    <row r="109" spans="9:9" x14ac:dyDescent="0.25">
      <c r="I109" t="s">
        <v>897</v>
      </c>
    </row>
    <row r="110" spans="9:9" x14ac:dyDescent="0.25">
      <c r="I110" t="s">
        <v>899</v>
      </c>
    </row>
    <row r="111" spans="9:9" x14ac:dyDescent="0.25">
      <c r="I111" t="s">
        <v>901</v>
      </c>
    </row>
    <row r="112" spans="9:9" x14ac:dyDescent="0.25">
      <c r="I112" t="s">
        <v>903</v>
      </c>
    </row>
    <row r="113" spans="9:9" x14ac:dyDescent="0.25">
      <c r="I113" t="s">
        <v>904</v>
      </c>
    </row>
    <row r="114" spans="9:9" x14ac:dyDescent="0.25">
      <c r="I114" t="s">
        <v>906</v>
      </c>
    </row>
    <row r="115" spans="9:9" x14ac:dyDescent="0.25">
      <c r="I115" t="s">
        <v>908</v>
      </c>
    </row>
    <row r="116" spans="9:9" x14ac:dyDescent="0.25">
      <c r="I116" t="s">
        <v>910</v>
      </c>
    </row>
    <row r="117" spans="9:9" x14ac:dyDescent="0.25">
      <c r="I117" t="s">
        <v>912</v>
      </c>
    </row>
    <row r="118" spans="9:9" x14ac:dyDescent="0.25">
      <c r="I118" t="s">
        <v>913</v>
      </c>
    </row>
    <row r="119" spans="9:9" x14ac:dyDescent="0.25">
      <c r="I119" t="s">
        <v>915</v>
      </c>
    </row>
    <row r="120" spans="9:9" x14ac:dyDescent="0.25">
      <c r="I120" t="s">
        <v>917</v>
      </c>
    </row>
    <row r="121" spans="9:9" x14ac:dyDescent="0.25">
      <c r="I121" t="s">
        <v>918</v>
      </c>
    </row>
    <row r="122" spans="9:9" x14ac:dyDescent="0.25">
      <c r="I122" t="s">
        <v>920</v>
      </c>
    </row>
    <row r="123" spans="9:9" x14ac:dyDescent="0.25">
      <c r="I123" t="s">
        <v>921</v>
      </c>
    </row>
    <row r="124" spans="9:9" x14ac:dyDescent="0.25">
      <c r="I124" t="s">
        <v>922</v>
      </c>
    </row>
    <row r="125" spans="9:9" x14ac:dyDescent="0.25">
      <c r="I125" t="s">
        <v>923</v>
      </c>
    </row>
    <row r="126" spans="9:9" x14ac:dyDescent="0.25">
      <c r="I126" t="s">
        <v>924</v>
      </c>
    </row>
    <row r="127" spans="9:9" x14ac:dyDescent="0.25">
      <c r="I127" t="s">
        <v>60</v>
      </c>
    </row>
    <row r="128" spans="9:9" x14ac:dyDescent="0.25">
      <c r="I128" t="s">
        <v>925</v>
      </c>
    </row>
    <row r="129" spans="9:9" x14ac:dyDescent="0.25">
      <c r="I129" t="s">
        <v>926</v>
      </c>
    </row>
    <row r="130" spans="9:9" x14ac:dyDescent="0.25">
      <c r="I130" t="s">
        <v>927</v>
      </c>
    </row>
    <row r="131" spans="9:9" x14ac:dyDescent="0.25">
      <c r="I131" t="s">
        <v>929</v>
      </c>
    </row>
    <row r="132" spans="9:9" x14ac:dyDescent="0.25">
      <c r="I132" t="s">
        <v>931</v>
      </c>
    </row>
    <row r="133" spans="9:9" x14ac:dyDescent="0.25">
      <c r="I133" t="s">
        <v>933</v>
      </c>
    </row>
    <row r="134" spans="9:9" x14ac:dyDescent="0.25">
      <c r="I134" t="s">
        <v>935</v>
      </c>
    </row>
    <row r="135" spans="9:9" x14ac:dyDescent="0.25">
      <c r="I135" t="s">
        <v>937</v>
      </c>
    </row>
    <row r="136" spans="9:9" x14ac:dyDescent="0.25">
      <c r="I136" t="s">
        <v>939</v>
      </c>
    </row>
    <row r="137" spans="9:9" x14ac:dyDescent="0.25">
      <c r="I137" t="s">
        <v>941</v>
      </c>
    </row>
    <row r="138" spans="9:9" x14ac:dyDescent="0.25">
      <c r="I138" t="s">
        <v>942</v>
      </c>
    </row>
    <row r="139" spans="9:9" x14ac:dyDescent="0.25">
      <c r="I139" t="s">
        <v>943</v>
      </c>
    </row>
    <row r="140" spans="9:9" x14ac:dyDescent="0.25">
      <c r="I140" t="s">
        <v>945</v>
      </c>
    </row>
    <row r="141" spans="9:9" x14ac:dyDescent="0.25">
      <c r="I141" t="s">
        <v>946</v>
      </c>
    </row>
    <row r="142" spans="9:9" x14ac:dyDescent="0.25">
      <c r="I142" t="s">
        <v>948</v>
      </c>
    </row>
    <row r="143" spans="9:9" x14ac:dyDescent="0.25">
      <c r="I143" t="s">
        <v>950</v>
      </c>
    </row>
    <row r="144" spans="9:9" x14ac:dyDescent="0.25">
      <c r="I144" t="s">
        <v>557</v>
      </c>
    </row>
    <row r="145" spans="9:9" x14ac:dyDescent="0.25">
      <c r="I145" t="s">
        <v>952</v>
      </c>
    </row>
    <row r="146" spans="9:9" x14ac:dyDescent="0.25">
      <c r="I146" t="s">
        <v>953</v>
      </c>
    </row>
    <row r="147" spans="9:9" x14ac:dyDescent="0.25">
      <c r="I147" t="s">
        <v>954</v>
      </c>
    </row>
    <row r="148" spans="9:9" x14ac:dyDescent="0.25">
      <c r="I148" t="s">
        <v>956</v>
      </c>
    </row>
    <row r="149" spans="9:9" x14ac:dyDescent="0.25">
      <c r="I149" t="s">
        <v>726</v>
      </c>
    </row>
    <row r="150" spans="9:9" x14ac:dyDescent="0.25">
      <c r="I150" t="s">
        <v>958</v>
      </c>
    </row>
    <row r="151" spans="9:9" x14ac:dyDescent="0.25">
      <c r="I151" t="s">
        <v>959</v>
      </c>
    </row>
    <row r="152" spans="9:9" x14ac:dyDescent="0.25">
      <c r="I152" t="s">
        <v>961</v>
      </c>
    </row>
    <row r="153" spans="9:9" x14ac:dyDescent="0.25">
      <c r="I153" t="s">
        <v>962</v>
      </c>
    </row>
    <row r="154" spans="9:9" x14ac:dyDescent="0.25">
      <c r="I154" t="s">
        <v>964</v>
      </c>
    </row>
    <row r="155" spans="9:9" x14ac:dyDescent="0.25">
      <c r="I155" t="s">
        <v>965</v>
      </c>
    </row>
    <row r="156" spans="9:9" x14ac:dyDescent="0.25">
      <c r="I156" t="s">
        <v>967</v>
      </c>
    </row>
    <row r="157" spans="9:9" x14ac:dyDescent="0.25">
      <c r="I157" t="s">
        <v>968</v>
      </c>
    </row>
    <row r="158" spans="9:9" x14ac:dyDescent="0.25">
      <c r="I158" t="s">
        <v>969</v>
      </c>
    </row>
    <row r="159" spans="9:9" x14ac:dyDescent="0.25">
      <c r="I159" t="s">
        <v>970</v>
      </c>
    </row>
    <row r="160" spans="9:9" x14ac:dyDescent="0.25">
      <c r="I160" t="s">
        <v>972</v>
      </c>
    </row>
    <row r="161" spans="9:9" x14ac:dyDescent="0.25">
      <c r="I161" t="s">
        <v>973</v>
      </c>
    </row>
    <row r="162" spans="9:9" x14ac:dyDescent="0.25">
      <c r="I162" t="s">
        <v>974</v>
      </c>
    </row>
    <row r="163" spans="9:9" x14ac:dyDescent="0.25">
      <c r="I163" t="s">
        <v>976</v>
      </c>
    </row>
    <row r="164" spans="9:9" x14ac:dyDescent="0.25">
      <c r="I164" t="s">
        <v>978</v>
      </c>
    </row>
    <row r="165" spans="9:9" x14ac:dyDescent="0.25">
      <c r="I165" t="s">
        <v>979</v>
      </c>
    </row>
    <row r="166" spans="9:9" x14ac:dyDescent="0.25">
      <c r="I166" t="s">
        <v>980</v>
      </c>
    </row>
    <row r="167" spans="9:9" x14ac:dyDescent="0.25">
      <c r="I167" t="s">
        <v>981</v>
      </c>
    </row>
    <row r="168" spans="9:9" x14ac:dyDescent="0.25">
      <c r="I168" t="s">
        <v>983</v>
      </c>
    </row>
    <row r="169" spans="9:9" x14ac:dyDescent="0.25">
      <c r="I169" t="s">
        <v>985</v>
      </c>
    </row>
    <row r="170" spans="9:9" x14ac:dyDescent="0.25">
      <c r="I170" t="s">
        <v>987</v>
      </c>
    </row>
    <row r="171" spans="9:9" x14ac:dyDescent="0.25">
      <c r="I171" t="s">
        <v>988</v>
      </c>
    </row>
    <row r="172" spans="9:9" x14ac:dyDescent="0.25">
      <c r="I172" t="s">
        <v>989</v>
      </c>
    </row>
    <row r="173" spans="9:9" x14ac:dyDescent="0.25">
      <c r="I173" t="s">
        <v>991</v>
      </c>
    </row>
    <row r="174" spans="9:9" x14ac:dyDescent="0.25">
      <c r="I174" t="s">
        <v>586</v>
      </c>
    </row>
    <row r="175" spans="9:9" x14ac:dyDescent="0.25">
      <c r="I175" t="s">
        <v>994</v>
      </c>
    </row>
    <row r="176" spans="9:9" x14ac:dyDescent="0.25">
      <c r="I176" t="s">
        <v>996</v>
      </c>
    </row>
    <row r="177" spans="9:9" x14ac:dyDescent="0.25">
      <c r="I177" t="s">
        <v>997</v>
      </c>
    </row>
    <row r="178" spans="9:9" x14ac:dyDescent="0.25">
      <c r="I178" t="s">
        <v>998</v>
      </c>
    </row>
    <row r="179" spans="9:9" x14ac:dyDescent="0.25">
      <c r="I179" t="s">
        <v>999</v>
      </c>
    </row>
    <row r="180" spans="9:9" x14ac:dyDescent="0.25">
      <c r="I180" t="s">
        <v>1000</v>
      </c>
    </row>
    <row r="181" spans="9:9" x14ac:dyDescent="0.25">
      <c r="I181" t="s">
        <v>1002</v>
      </c>
    </row>
    <row r="182" spans="9:9" x14ac:dyDescent="0.25">
      <c r="I182" t="s">
        <v>1003</v>
      </c>
    </row>
    <row r="183" spans="9:9" x14ac:dyDescent="0.25">
      <c r="I183" t="s">
        <v>1005</v>
      </c>
    </row>
    <row r="184" spans="9:9" x14ac:dyDescent="0.25">
      <c r="I184" t="s">
        <v>1007</v>
      </c>
    </row>
    <row r="185" spans="9:9" x14ac:dyDescent="0.25">
      <c r="I185" t="s">
        <v>1009</v>
      </c>
    </row>
    <row r="186" spans="9:9" x14ac:dyDescent="0.25">
      <c r="I186" t="s">
        <v>1011</v>
      </c>
    </row>
    <row r="187" spans="9:9" x14ac:dyDescent="0.25">
      <c r="I187" t="s">
        <v>1013</v>
      </c>
    </row>
    <row r="188" spans="9:9" x14ac:dyDescent="0.25">
      <c r="I188" t="s">
        <v>1014</v>
      </c>
    </row>
    <row r="189" spans="9:9" x14ac:dyDescent="0.25">
      <c r="I189" t="s">
        <v>1015</v>
      </c>
    </row>
    <row r="190" spans="9:9" x14ac:dyDescent="0.25">
      <c r="I190" t="s">
        <v>1017</v>
      </c>
    </row>
    <row r="191" spans="9:9" x14ac:dyDescent="0.25">
      <c r="I191" t="s">
        <v>1018</v>
      </c>
    </row>
    <row r="192" spans="9:9" x14ac:dyDescent="0.25">
      <c r="I192" t="s">
        <v>1019</v>
      </c>
    </row>
    <row r="193" spans="9:9" x14ac:dyDescent="0.25">
      <c r="I193" t="s">
        <v>1021</v>
      </c>
    </row>
    <row r="194" spans="9:9" x14ac:dyDescent="0.25">
      <c r="I194" t="s">
        <v>1022</v>
      </c>
    </row>
    <row r="195" spans="9:9" x14ac:dyDescent="0.25">
      <c r="I195" t="s">
        <v>1023</v>
      </c>
    </row>
    <row r="196" spans="9:9" x14ac:dyDescent="0.25">
      <c r="I196" t="s">
        <v>1024</v>
      </c>
    </row>
    <row r="197" spans="9:9" x14ac:dyDescent="0.25">
      <c r="I197" t="s">
        <v>1025</v>
      </c>
    </row>
    <row r="198" spans="9:9" x14ac:dyDescent="0.25">
      <c r="I198" t="s">
        <v>1026</v>
      </c>
    </row>
    <row r="199" spans="9:9" x14ac:dyDescent="0.25">
      <c r="I199" t="s">
        <v>1027</v>
      </c>
    </row>
    <row r="200" spans="9:9" x14ac:dyDescent="0.25">
      <c r="I200" t="s">
        <v>1028</v>
      </c>
    </row>
    <row r="201" spans="9:9" x14ac:dyDescent="0.25">
      <c r="I201" t="s">
        <v>1030</v>
      </c>
    </row>
    <row r="202" spans="9:9" x14ac:dyDescent="0.25">
      <c r="I202" t="s">
        <v>1031</v>
      </c>
    </row>
    <row r="203" spans="9:9" x14ac:dyDescent="0.25">
      <c r="I203" t="s">
        <v>1033</v>
      </c>
    </row>
    <row r="204" spans="9:9" x14ac:dyDescent="0.25">
      <c r="I204" t="s">
        <v>771</v>
      </c>
    </row>
    <row r="205" spans="9:9" x14ac:dyDescent="0.25">
      <c r="I205" t="s">
        <v>1036</v>
      </c>
    </row>
    <row r="206" spans="9:9" x14ac:dyDescent="0.25">
      <c r="I206" t="s">
        <v>1038</v>
      </c>
    </row>
    <row r="207" spans="9:9" x14ac:dyDescent="0.25">
      <c r="I207" t="s">
        <v>1040</v>
      </c>
    </row>
    <row r="208" spans="9:9" x14ac:dyDescent="0.25">
      <c r="I208" t="s">
        <v>1041</v>
      </c>
    </row>
    <row r="209" spans="9:9" x14ac:dyDescent="0.25">
      <c r="I209" t="s">
        <v>1042</v>
      </c>
    </row>
    <row r="210" spans="9:9" x14ac:dyDescent="0.25">
      <c r="I210" t="s">
        <v>1044</v>
      </c>
    </row>
    <row r="211" spans="9:9" x14ac:dyDescent="0.25">
      <c r="I211" t="s">
        <v>1046</v>
      </c>
    </row>
    <row r="212" spans="9:9" x14ac:dyDescent="0.25">
      <c r="I212" t="s">
        <v>1047</v>
      </c>
    </row>
    <row r="213" spans="9:9" x14ac:dyDescent="0.25">
      <c r="I213" t="s">
        <v>1049</v>
      </c>
    </row>
    <row r="214" spans="9:9" x14ac:dyDescent="0.25">
      <c r="I214" t="s">
        <v>1050</v>
      </c>
    </row>
    <row r="215" spans="9:9" x14ac:dyDescent="0.25">
      <c r="I215" t="s">
        <v>1052</v>
      </c>
    </row>
    <row r="216" spans="9:9" x14ac:dyDescent="0.25">
      <c r="I216" t="s">
        <v>1053</v>
      </c>
    </row>
    <row r="217" spans="9:9" x14ac:dyDescent="0.25">
      <c r="I217" t="s">
        <v>1054</v>
      </c>
    </row>
    <row r="218" spans="9:9" x14ac:dyDescent="0.25">
      <c r="I218" t="s">
        <v>1055</v>
      </c>
    </row>
    <row r="219" spans="9:9" x14ac:dyDescent="0.25">
      <c r="I219" t="s">
        <v>1056</v>
      </c>
    </row>
    <row r="220" spans="9:9" x14ac:dyDescent="0.25">
      <c r="I220" t="s">
        <v>1058</v>
      </c>
    </row>
    <row r="221" spans="9:9" x14ac:dyDescent="0.25">
      <c r="I221" t="s">
        <v>1059</v>
      </c>
    </row>
    <row r="222" spans="9:9" x14ac:dyDescent="0.25">
      <c r="I222" t="s">
        <v>1060</v>
      </c>
    </row>
    <row r="223" spans="9:9" x14ac:dyDescent="0.25">
      <c r="I223" t="s">
        <v>1062</v>
      </c>
    </row>
    <row r="224" spans="9:9" x14ac:dyDescent="0.25">
      <c r="I224" t="s">
        <v>1063</v>
      </c>
    </row>
    <row r="225" spans="9:9" x14ac:dyDescent="0.25">
      <c r="I225" t="s">
        <v>1064</v>
      </c>
    </row>
    <row r="226" spans="9:9" x14ac:dyDescent="0.25">
      <c r="I226" t="s">
        <v>1066</v>
      </c>
    </row>
    <row r="227" spans="9:9" x14ac:dyDescent="0.25">
      <c r="I227" t="s">
        <v>1068</v>
      </c>
    </row>
    <row r="228" spans="9:9" x14ac:dyDescent="0.25">
      <c r="I228" t="s">
        <v>1069</v>
      </c>
    </row>
    <row r="229" spans="9:9" x14ac:dyDescent="0.25">
      <c r="I229" t="s">
        <v>1070</v>
      </c>
    </row>
    <row r="230" spans="9:9" x14ac:dyDescent="0.25">
      <c r="I230" t="s">
        <v>1072</v>
      </c>
    </row>
    <row r="231" spans="9:9" x14ac:dyDescent="0.25">
      <c r="I231" t="s">
        <v>1074</v>
      </c>
    </row>
    <row r="232" spans="9:9" x14ac:dyDescent="0.25">
      <c r="I232" t="s">
        <v>1075</v>
      </c>
    </row>
    <row r="233" spans="9:9" x14ac:dyDescent="0.25">
      <c r="I233" t="s">
        <v>1076</v>
      </c>
    </row>
    <row r="234" spans="9:9" x14ac:dyDescent="0.25">
      <c r="I234" t="s">
        <v>1077</v>
      </c>
    </row>
    <row r="235" spans="9:9" x14ac:dyDescent="0.25">
      <c r="I235" t="s">
        <v>1079</v>
      </c>
    </row>
    <row r="236" spans="9:9" x14ac:dyDescent="0.25">
      <c r="I236" t="s">
        <v>1080</v>
      </c>
    </row>
    <row r="237" spans="9:9" x14ac:dyDescent="0.25">
      <c r="I237" t="s">
        <v>1081</v>
      </c>
    </row>
    <row r="238" spans="9:9" x14ac:dyDescent="0.25">
      <c r="I238" t="s">
        <v>1082</v>
      </c>
    </row>
    <row r="239" spans="9:9" x14ac:dyDescent="0.25">
      <c r="I239" t="s">
        <v>1084</v>
      </c>
    </row>
    <row r="240" spans="9:9" x14ac:dyDescent="0.25">
      <c r="I240" t="s">
        <v>1086</v>
      </c>
    </row>
  </sheetData>
  <sortState xmlns:xlrd2="http://schemas.microsoft.com/office/spreadsheetml/2017/richdata2" ref="D2">
    <sortCondition ref="D2"/>
  </sortState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RowSources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bestFit="1" customWidth="1"/>
    <col min="2" max="2" width="17.28515625" bestFit="1" customWidth="1"/>
    <col min="3" max="3" width="24.5703125" bestFit="1" customWidth="1"/>
    <col min="4" max="4" width="22.7109375" bestFit="1" customWidth="1"/>
    <col min="5" max="5" width="20.28515625" bestFit="1" customWidth="1"/>
    <col min="6" max="6" width="24.5703125" bestFit="1" customWidth="1"/>
    <col min="7" max="7" width="39.85546875" bestFit="1" customWidth="1"/>
    <col min="8" max="8" width="28" bestFit="1" customWidth="1"/>
    <col min="9" max="9" width="33.42578125" bestFit="1" customWidth="1"/>
    <col min="10" max="10" width="12.5703125" bestFit="1" customWidth="1"/>
    <col min="11" max="11" width="36.5703125" bestFit="1" customWidth="1"/>
    <col min="12" max="12" width="26.140625" bestFit="1" customWidth="1"/>
    <col min="13" max="13" width="24.85546875" bestFit="1" customWidth="1"/>
    <col min="14" max="14" width="28.140625" bestFit="1" customWidth="1"/>
  </cols>
  <sheetData>
    <row r="1" spans="1:14" s="43" customFormat="1" x14ac:dyDescent="0.25">
      <c r="A1" s="43" t="s">
        <v>132</v>
      </c>
      <c r="B1" s="43" t="s">
        <v>133</v>
      </c>
      <c r="C1" s="43" t="s">
        <v>134</v>
      </c>
      <c r="D1" s="43" t="s">
        <v>139</v>
      </c>
      <c r="E1" s="43" t="s">
        <v>142</v>
      </c>
      <c r="F1" s="43" t="s">
        <v>141</v>
      </c>
      <c r="G1" s="43" t="s">
        <v>1893</v>
      </c>
      <c r="H1" s="43" t="s">
        <v>146</v>
      </c>
      <c r="I1" s="43" t="s">
        <v>1894</v>
      </c>
      <c r="J1" s="43" t="s">
        <v>1895</v>
      </c>
      <c r="K1" s="43" t="s">
        <v>1896</v>
      </c>
      <c r="L1" s="43" t="s">
        <v>1897</v>
      </c>
      <c r="M1" s="43" t="s">
        <v>1898</v>
      </c>
      <c r="N1" s="43" t="s">
        <v>1900</v>
      </c>
    </row>
    <row r="2" spans="1:14" x14ac:dyDescent="0.25">
      <c r="A2" t="s">
        <v>67</v>
      </c>
      <c r="B2" t="s">
        <v>1095</v>
      </c>
      <c r="C2" t="s">
        <v>1096</v>
      </c>
      <c r="D2" t="s">
        <v>1097</v>
      </c>
      <c r="E2" t="s">
        <v>1098</v>
      </c>
      <c r="F2" t="s">
        <v>71</v>
      </c>
      <c r="G2" t="s">
        <v>1099</v>
      </c>
      <c r="H2" t="s">
        <v>1100</v>
      </c>
      <c r="I2" t="s">
        <v>72</v>
      </c>
      <c r="J2" t="s">
        <v>1101</v>
      </c>
      <c r="K2" t="s">
        <v>1102</v>
      </c>
      <c r="L2" t="s">
        <v>1103</v>
      </c>
      <c r="M2" t="s">
        <v>1103</v>
      </c>
      <c r="N2" t="s">
        <v>1104</v>
      </c>
    </row>
    <row r="3" spans="1:14" x14ac:dyDescent="0.25">
      <c r="A3" t="s">
        <v>1107</v>
      </c>
      <c r="B3" t="s">
        <v>1108</v>
      </c>
      <c r="C3" t="s">
        <v>1109</v>
      </c>
      <c r="D3" t="s">
        <v>1110</v>
      </c>
      <c r="E3" t="s">
        <v>1112</v>
      </c>
      <c r="F3" t="s">
        <v>1111</v>
      </c>
      <c r="G3" t="s">
        <v>1113</v>
      </c>
      <c r="I3" t="s">
        <v>1114</v>
      </c>
      <c r="J3" t="s">
        <v>1115</v>
      </c>
      <c r="K3" t="s">
        <v>1116</v>
      </c>
      <c r="L3" t="s">
        <v>1103</v>
      </c>
      <c r="M3" t="s">
        <v>1103</v>
      </c>
      <c r="N3" t="s">
        <v>1117</v>
      </c>
    </row>
    <row r="4" spans="1:14" x14ac:dyDescent="0.25">
      <c r="A4" t="s">
        <v>1118</v>
      </c>
      <c r="B4" t="s">
        <v>68</v>
      </c>
      <c r="C4" t="s">
        <v>1119</v>
      </c>
      <c r="D4" t="s">
        <v>1120</v>
      </c>
      <c r="F4" t="s">
        <v>1121</v>
      </c>
      <c r="G4" t="s">
        <v>1100</v>
      </c>
      <c r="I4" t="s">
        <v>1122</v>
      </c>
      <c r="J4" t="s">
        <v>1123</v>
      </c>
      <c r="K4" t="s">
        <v>1116</v>
      </c>
      <c r="L4" t="s">
        <v>1124</v>
      </c>
      <c r="M4" t="s">
        <v>1103</v>
      </c>
      <c r="N4" t="s">
        <v>1125</v>
      </c>
    </row>
    <row r="5" spans="1:14" x14ac:dyDescent="0.25">
      <c r="A5" t="s">
        <v>1126</v>
      </c>
      <c r="B5" t="s">
        <v>1127</v>
      </c>
      <c r="C5" t="s">
        <v>1128</v>
      </c>
      <c r="D5" t="s">
        <v>1129</v>
      </c>
      <c r="F5" t="s">
        <v>1130</v>
      </c>
      <c r="G5" t="s">
        <v>1131</v>
      </c>
      <c r="I5" t="s">
        <v>1132</v>
      </c>
      <c r="J5" t="s">
        <v>1133</v>
      </c>
      <c r="K5" t="s">
        <v>1116</v>
      </c>
      <c r="L5" t="s">
        <v>1134</v>
      </c>
      <c r="M5" t="s">
        <v>1103</v>
      </c>
      <c r="N5" t="s">
        <v>1135</v>
      </c>
    </row>
    <row r="6" spans="1:14" x14ac:dyDescent="0.25">
      <c r="A6" t="s">
        <v>1136</v>
      </c>
      <c r="B6" t="s">
        <v>1137</v>
      </c>
      <c r="C6" t="s">
        <v>69</v>
      </c>
      <c r="D6" t="s">
        <v>1138</v>
      </c>
      <c r="F6" t="s">
        <v>1139</v>
      </c>
      <c r="G6" t="s">
        <v>1140</v>
      </c>
      <c r="J6" t="s">
        <v>1141</v>
      </c>
      <c r="K6" t="s">
        <v>1142</v>
      </c>
      <c r="L6" t="s">
        <v>1103</v>
      </c>
      <c r="M6" t="s">
        <v>1103</v>
      </c>
      <c r="N6" t="s">
        <v>1143</v>
      </c>
    </row>
    <row r="7" spans="1:14" x14ac:dyDescent="0.25">
      <c r="A7" t="s">
        <v>1144</v>
      </c>
      <c r="C7" t="s">
        <v>1145</v>
      </c>
      <c r="D7" t="s">
        <v>1146</v>
      </c>
      <c r="F7" t="s">
        <v>1147</v>
      </c>
      <c r="G7" t="s">
        <v>1148</v>
      </c>
      <c r="J7" t="s">
        <v>1149</v>
      </c>
      <c r="K7" t="s">
        <v>1142</v>
      </c>
      <c r="L7" t="s">
        <v>1150</v>
      </c>
      <c r="M7" t="s">
        <v>1103</v>
      </c>
      <c r="N7" t="s">
        <v>1151</v>
      </c>
    </row>
    <row r="8" spans="1:14" x14ac:dyDescent="0.25">
      <c r="C8" t="s">
        <v>1152</v>
      </c>
      <c r="D8" t="s">
        <v>1153</v>
      </c>
      <c r="F8" t="s">
        <v>1154</v>
      </c>
      <c r="J8" t="s">
        <v>1155</v>
      </c>
      <c r="K8" t="s">
        <v>1156</v>
      </c>
      <c r="L8" t="s">
        <v>1103</v>
      </c>
      <c r="M8" t="s">
        <v>1103</v>
      </c>
      <c r="N8" t="s">
        <v>1157</v>
      </c>
    </row>
    <row r="9" spans="1:14" x14ac:dyDescent="0.25">
      <c r="C9" t="s">
        <v>1158</v>
      </c>
      <c r="D9" t="s">
        <v>1159</v>
      </c>
      <c r="F9" t="s">
        <v>1160</v>
      </c>
      <c r="J9" t="s">
        <v>1161</v>
      </c>
      <c r="K9" t="s">
        <v>1162</v>
      </c>
      <c r="L9" t="s">
        <v>1103</v>
      </c>
      <c r="M9" t="s">
        <v>1103</v>
      </c>
      <c r="N9" t="s">
        <v>1163</v>
      </c>
    </row>
    <row r="10" spans="1:14" x14ac:dyDescent="0.25">
      <c r="C10" t="s">
        <v>1164</v>
      </c>
      <c r="D10" t="s">
        <v>1165</v>
      </c>
      <c r="F10" t="s">
        <v>1166</v>
      </c>
      <c r="J10" t="s">
        <v>1167</v>
      </c>
      <c r="K10" t="s">
        <v>1162</v>
      </c>
      <c r="L10" t="s">
        <v>1168</v>
      </c>
      <c r="M10" t="s">
        <v>1103</v>
      </c>
      <c r="N10" t="s">
        <v>1169</v>
      </c>
    </row>
    <row r="11" spans="1:14" x14ac:dyDescent="0.25">
      <c r="C11" t="s">
        <v>1170</v>
      </c>
      <c r="D11" t="s">
        <v>1171</v>
      </c>
      <c r="F11" t="s">
        <v>1172</v>
      </c>
      <c r="J11" t="s">
        <v>1173</v>
      </c>
      <c r="K11" t="s">
        <v>1162</v>
      </c>
      <c r="L11" t="s">
        <v>1174</v>
      </c>
      <c r="M11" t="s">
        <v>1103</v>
      </c>
      <c r="N11" t="s">
        <v>1175</v>
      </c>
    </row>
    <row r="12" spans="1:14" x14ac:dyDescent="0.25">
      <c r="C12" t="s">
        <v>1176</v>
      </c>
      <c r="D12" t="s">
        <v>1177</v>
      </c>
      <c r="F12" t="s">
        <v>1178</v>
      </c>
      <c r="J12" t="s">
        <v>1179</v>
      </c>
      <c r="K12" t="s">
        <v>1162</v>
      </c>
      <c r="L12" t="s">
        <v>1180</v>
      </c>
      <c r="M12" t="s">
        <v>1103</v>
      </c>
    </row>
    <row r="13" spans="1:14" x14ac:dyDescent="0.25">
      <c r="C13" t="s">
        <v>1181</v>
      </c>
      <c r="D13" t="s">
        <v>1182</v>
      </c>
      <c r="J13" t="s">
        <v>1183</v>
      </c>
      <c r="K13" t="s">
        <v>1162</v>
      </c>
      <c r="L13" t="s">
        <v>1184</v>
      </c>
      <c r="M13" t="s">
        <v>1103</v>
      </c>
    </row>
    <row r="14" spans="1:14" x14ac:dyDescent="0.25">
      <c r="C14" t="s">
        <v>1185</v>
      </c>
      <c r="D14" t="s">
        <v>1186</v>
      </c>
      <c r="J14" t="s">
        <v>1187</v>
      </c>
      <c r="K14" t="s">
        <v>1162</v>
      </c>
      <c r="L14" t="s">
        <v>1188</v>
      </c>
      <c r="M14" t="s">
        <v>1103</v>
      </c>
    </row>
    <row r="15" spans="1:14" x14ac:dyDescent="0.25">
      <c r="C15" t="s">
        <v>1189</v>
      </c>
      <c r="D15" t="s">
        <v>70</v>
      </c>
      <c r="J15" t="s">
        <v>1190</v>
      </c>
      <c r="K15" t="s">
        <v>1162</v>
      </c>
      <c r="L15" t="s">
        <v>1150</v>
      </c>
      <c r="M15" t="s">
        <v>1103</v>
      </c>
    </row>
    <row r="16" spans="1:14" x14ac:dyDescent="0.25">
      <c r="C16" t="s">
        <v>1191</v>
      </c>
      <c r="D16" t="s">
        <v>1192</v>
      </c>
      <c r="J16" t="s">
        <v>1193</v>
      </c>
      <c r="K16" t="s">
        <v>1162</v>
      </c>
      <c r="L16" t="s">
        <v>1194</v>
      </c>
      <c r="M16" t="s">
        <v>1103</v>
      </c>
    </row>
    <row r="17" spans="3:13" x14ac:dyDescent="0.25">
      <c r="C17" t="s">
        <v>1195</v>
      </c>
      <c r="D17" t="s">
        <v>1196</v>
      </c>
      <c r="J17" t="s">
        <v>1197</v>
      </c>
      <c r="K17" t="s">
        <v>1162</v>
      </c>
      <c r="L17" t="s">
        <v>1198</v>
      </c>
      <c r="M17" t="s">
        <v>1103</v>
      </c>
    </row>
    <row r="18" spans="3:13" x14ac:dyDescent="0.25">
      <c r="C18" t="s">
        <v>1199</v>
      </c>
      <c r="D18" t="s">
        <v>1200</v>
      </c>
      <c r="J18" t="s">
        <v>1201</v>
      </c>
      <c r="K18" t="s">
        <v>1162</v>
      </c>
      <c r="L18" t="s">
        <v>1202</v>
      </c>
      <c r="M18" t="s">
        <v>1103</v>
      </c>
    </row>
    <row r="19" spans="3:13" x14ac:dyDescent="0.25">
      <c r="C19" t="s">
        <v>1203</v>
      </c>
      <c r="D19" t="s">
        <v>1204</v>
      </c>
      <c r="J19" t="s">
        <v>1205</v>
      </c>
      <c r="K19" t="s">
        <v>1162</v>
      </c>
      <c r="L19" t="s">
        <v>1134</v>
      </c>
      <c r="M19" t="s">
        <v>1103</v>
      </c>
    </row>
    <row r="20" spans="3:13" x14ac:dyDescent="0.25">
      <c r="C20" t="s">
        <v>1206</v>
      </c>
      <c r="J20" t="s">
        <v>1207</v>
      </c>
      <c r="K20" t="s">
        <v>1162</v>
      </c>
      <c r="L20" t="s">
        <v>1208</v>
      </c>
      <c r="M20" t="s">
        <v>1103</v>
      </c>
    </row>
    <row r="21" spans="3:13" x14ac:dyDescent="0.25">
      <c r="C21" t="s">
        <v>1209</v>
      </c>
      <c r="J21" t="s">
        <v>1210</v>
      </c>
      <c r="K21" t="s">
        <v>1162</v>
      </c>
      <c r="L21" t="s">
        <v>1211</v>
      </c>
      <c r="M21" t="s">
        <v>1103</v>
      </c>
    </row>
    <row r="22" spans="3:13" x14ac:dyDescent="0.25">
      <c r="C22" t="s">
        <v>1212</v>
      </c>
      <c r="J22" t="s">
        <v>1213</v>
      </c>
      <c r="K22" t="s">
        <v>1162</v>
      </c>
      <c r="L22" t="s">
        <v>1214</v>
      </c>
      <c r="M22" t="s">
        <v>1103</v>
      </c>
    </row>
    <row r="23" spans="3:13" x14ac:dyDescent="0.25">
      <c r="C23" t="s">
        <v>65</v>
      </c>
      <c r="J23" t="s">
        <v>1215</v>
      </c>
      <c r="K23" t="s">
        <v>1216</v>
      </c>
      <c r="L23" t="s">
        <v>1103</v>
      </c>
      <c r="M23" t="s">
        <v>1103</v>
      </c>
    </row>
    <row r="24" spans="3:13" x14ac:dyDescent="0.25">
      <c r="C24" t="s">
        <v>1217</v>
      </c>
      <c r="J24" t="s">
        <v>1218</v>
      </c>
      <c r="K24" t="s">
        <v>1216</v>
      </c>
      <c r="L24" t="s">
        <v>1202</v>
      </c>
      <c r="M24" t="s">
        <v>1103</v>
      </c>
    </row>
    <row r="25" spans="3:13" x14ac:dyDescent="0.25">
      <c r="C25" t="s">
        <v>1219</v>
      </c>
      <c r="J25" t="s">
        <v>1220</v>
      </c>
      <c r="K25" t="s">
        <v>1216</v>
      </c>
      <c r="L25" t="s">
        <v>1150</v>
      </c>
      <c r="M25" t="s">
        <v>1103</v>
      </c>
    </row>
    <row r="26" spans="3:13" x14ac:dyDescent="0.25">
      <c r="C26" t="s">
        <v>1221</v>
      </c>
      <c r="J26" t="s">
        <v>1222</v>
      </c>
      <c r="K26" t="s">
        <v>1223</v>
      </c>
      <c r="L26" t="s">
        <v>1103</v>
      </c>
      <c r="M26" t="s">
        <v>1103</v>
      </c>
    </row>
    <row r="27" spans="3:13" x14ac:dyDescent="0.25">
      <c r="C27" t="s">
        <v>1224</v>
      </c>
      <c r="J27" t="s">
        <v>1225</v>
      </c>
      <c r="K27" t="s">
        <v>1223</v>
      </c>
      <c r="L27" t="s">
        <v>1226</v>
      </c>
      <c r="M27" t="s">
        <v>1103</v>
      </c>
    </row>
    <row r="28" spans="3:13" x14ac:dyDescent="0.25">
      <c r="C28" t="s">
        <v>1227</v>
      </c>
      <c r="J28" t="s">
        <v>1228</v>
      </c>
      <c r="K28" t="s">
        <v>1223</v>
      </c>
      <c r="L28" t="s">
        <v>1180</v>
      </c>
      <c r="M28" t="s">
        <v>1103</v>
      </c>
    </row>
    <row r="29" spans="3:13" x14ac:dyDescent="0.25">
      <c r="J29" t="s">
        <v>1229</v>
      </c>
      <c r="K29" t="s">
        <v>1223</v>
      </c>
      <c r="L29" t="s">
        <v>1230</v>
      </c>
      <c r="M29" t="s">
        <v>1103</v>
      </c>
    </row>
    <row r="30" spans="3:13" x14ac:dyDescent="0.25">
      <c r="J30" t="s">
        <v>1231</v>
      </c>
      <c r="K30" t="s">
        <v>1223</v>
      </c>
      <c r="L30" t="s">
        <v>1184</v>
      </c>
      <c r="M30" t="s">
        <v>1103</v>
      </c>
    </row>
    <row r="31" spans="3:13" x14ac:dyDescent="0.25">
      <c r="J31" t="s">
        <v>1232</v>
      </c>
      <c r="K31" t="s">
        <v>1223</v>
      </c>
      <c r="L31" t="s">
        <v>1233</v>
      </c>
      <c r="M31" t="s">
        <v>1103</v>
      </c>
    </row>
    <row r="32" spans="3:13" x14ac:dyDescent="0.25">
      <c r="J32" t="s">
        <v>1234</v>
      </c>
      <c r="K32" t="s">
        <v>1223</v>
      </c>
      <c r="L32" t="s">
        <v>1188</v>
      </c>
      <c r="M32" t="s">
        <v>1103</v>
      </c>
    </row>
    <row r="33" spans="10:13" x14ac:dyDescent="0.25">
      <c r="J33" t="s">
        <v>1235</v>
      </c>
      <c r="K33" t="s">
        <v>1223</v>
      </c>
      <c r="L33" t="s">
        <v>1236</v>
      </c>
      <c r="M33" t="s">
        <v>1103</v>
      </c>
    </row>
    <row r="34" spans="10:13" x14ac:dyDescent="0.25">
      <c r="J34" t="s">
        <v>1237</v>
      </c>
      <c r="K34" t="s">
        <v>1223</v>
      </c>
      <c r="L34" t="s">
        <v>1238</v>
      </c>
      <c r="M34" t="s">
        <v>1103</v>
      </c>
    </row>
    <row r="35" spans="10:13" x14ac:dyDescent="0.25">
      <c r="J35" t="s">
        <v>1239</v>
      </c>
      <c r="K35" t="s">
        <v>1223</v>
      </c>
      <c r="L35" t="s">
        <v>1150</v>
      </c>
      <c r="M35" t="s">
        <v>1103</v>
      </c>
    </row>
    <row r="36" spans="10:13" x14ac:dyDescent="0.25">
      <c r="J36" t="s">
        <v>1240</v>
      </c>
      <c r="K36" t="s">
        <v>1223</v>
      </c>
      <c r="L36" t="s">
        <v>1194</v>
      </c>
      <c r="M36" t="s">
        <v>1103</v>
      </c>
    </row>
    <row r="37" spans="10:13" x14ac:dyDescent="0.25">
      <c r="J37" t="s">
        <v>1241</v>
      </c>
      <c r="K37" t="s">
        <v>1223</v>
      </c>
      <c r="L37" t="s">
        <v>1198</v>
      </c>
      <c r="M37" t="s">
        <v>1103</v>
      </c>
    </row>
    <row r="38" spans="10:13" x14ac:dyDescent="0.25">
      <c r="J38" t="s">
        <v>1242</v>
      </c>
      <c r="K38" t="s">
        <v>1223</v>
      </c>
      <c r="L38" t="s">
        <v>1243</v>
      </c>
      <c r="M38" t="s">
        <v>1103</v>
      </c>
    </row>
    <row r="39" spans="10:13" x14ac:dyDescent="0.25">
      <c r="J39" t="s">
        <v>1244</v>
      </c>
      <c r="K39" t="s">
        <v>1223</v>
      </c>
      <c r="L39" t="s">
        <v>1202</v>
      </c>
      <c r="M39" t="s">
        <v>1103</v>
      </c>
    </row>
    <row r="40" spans="10:13" x14ac:dyDescent="0.25">
      <c r="J40" t="s">
        <v>1245</v>
      </c>
      <c r="K40" t="s">
        <v>1223</v>
      </c>
      <c r="L40" t="s">
        <v>1134</v>
      </c>
      <c r="M40" t="s">
        <v>1103</v>
      </c>
    </row>
    <row r="41" spans="10:13" x14ac:dyDescent="0.25">
      <c r="J41" t="s">
        <v>1246</v>
      </c>
      <c r="K41" t="s">
        <v>1223</v>
      </c>
      <c r="L41" t="s">
        <v>1247</v>
      </c>
      <c r="M41" t="s">
        <v>1103</v>
      </c>
    </row>
    <row r="42" spans="10:13" x14ac:dyDescent="0.25">
      <c r="J42" t="s">
        <v>1248</v>
      </c>
      <c r="K42" t="s">
        <v>1223</v>
      </c>
      <c r="L42" t="s">
        <v>1249</v>
      </c>
      <c r="M42" t="s">
        <v>1103</v>
      </c>
    </row>
    <row r="43" spans="10:13" x14ac:dyDescent="0.25">
      <c r="J43" t="s">
        <v>1250</v>
      </c>
      <c r="K43" t="s">
        <v>1223</v>
      </c>
      <c r="L43" t="s">
        <v>1208</v>
      </c>
      <c r="M43" t="s">
        <v>1103</v>
      </c>
    </row>
    <row r="44" spans="10:13" x14ac:dyDescent="0.25">
      <c r="J44" t="s">
        <v>1251</v>
      </c>
      <c r="K44" t="s">
        <v>1223</v>
      </c>
      <c r="L44" t="s">
        <v>1252</v>
      </c>
      <c r="M44" t="s">
        <v>1103</v>
      </c>
    </row>
    <row r="45" spans="10:13" x14ac:dyDescent="0.25">
      <c r="J45" t="s">
        <v>1253</v>
      </c>
      <c r="K45" t="s">
        <v>1223</v>
      </c>
      <c r="L45" t="s">
        <v>1254</v>
      </c>
      <c r="M45" t="s">
        <v>1103</v>
      </c>
    </row>
    <row r="46" spans="10:13" x14ac:dyDescent="0.25">
      <c r="J46" t="s">
        <v>1255</v>
      </c>
      <c r="K46" t="s">
        <v>1223</v>
      </c>
      <c r="L46" t="s">
        <v>1256</v>
      </c>
      <c r="M46" t="s">
        <v>1103</v>
      </c>
    </row>
    <row r="47" spans="10:13" x14ac:dyDescent="0.25">
      <c r="J47" t="s">
        <v>1257</v>
      </c>
      <c r="K47" t="s">
        <v>1258</v>
      </c>
      <c r="L47" t="s">
        <v>1259</v>
      </c>
      <c r="M47" t="s">
        <v>1103</v>
      </c>
    </row>
    <row r="48" spans="10:13" x14ac:dyDescent="0.25">
      <c r="J48" t="s">
        <v>1260</v>
      </c>
      <c r="K48" t="s">
        <v>1261</v>
      </c>
      <c r="L48" t="s">
        <v>1262</v>
      </c>
      <c r="M48" t="s">
        <v>1103</v>
      </c>
    </row>
    <row r="49" spans="10:13" x14ac:dyDescent="0.25">
      <c r="J49" t="s">
        <v>1263</v>
      </c>
      <c r="K49" t="s">
        <v>1261</v>
      </c>
      <c r="L49" t="s">
        <v>1264</v>
      </c>
      <c r="M49" t="s">
        <v>1103</v>
      </c>
    </row>
    <row r="50" spans="10:13" x14ac:dyDescent="0.25">
      <c r="J50" t="s">
        <v>1265</v>
      </c>
      <c r="K50" t="s">
        <v>1261</v>
      </c>
      <c r="L50" t="s">
        <v>1266</v>
      </c>
      <c r="M50" t="s">
        <v>1103</v>
      </c>
    </row>
    <row r="51" spans="10:13" x14ac:dyDescent="0.25">
      <c r="J51" t="s">
        <v>1267</v>
      </c>
      <c r="K51" t="s">
        <v>1261</v>
      </c>
      <c r="L51" t="s">
        <v>1268</v>
      </c>
      <c r="M51" t="s">
        <v>1103</v>
      </c>
    </row>
    <row r="52" spans="10:13" x14ac:dyDescent="0.25">
      <c r="J52" t="s">
        <v>1269</v>
      </c>
      <c r="K52" t="s">
        <v>1261</v>
      </c>
      <c r="L52" t="s">
        <v>1270</v>
      </c>
      <c r="M52" t="s">
        <v>1103</v>
      </c>
    </row>
    <row r="53" spans="10:13" x14ac:dyDescent="0.25">
      <c r="J53" t="s">
        <v>1271</v>
      </c>
      <c r="K53" t="s">
        <v>1261</v>
      </c>
      <c r="L53" t="s">
        <v>1272</v>
      </c>
      <c r="M53" t="s">
        <v>1103</v>
      </c>
    </row>
    <row r="54" spans="10:13" x14ac:dyDescent="0.25">
      <c r="J54" t="s">
        <v>1273</v>
      </c>
      <c r="K54" t="s">
        <v>1274</v>
      </c>
      <c r="L54" t="s">
        <v>1275</v>
      </c>
      <c r="M54" t="s">
        <v>1103</v>
      </c>
    </row>
    <row r="55" spans="10:13" x14ac:dyDescent="0.25">
      <c r="J55" t="s">
        <v>1276</v>
      </c>
      <c r="K55" t="s">
        <v>1274</v>
      </c>
      <c r="L55" t="s">
        <v>1277</v>
      </c>
      <c r="M55" t="s">
        <v>1103</v>
      </c>
    </row>
    <row r="56" spans="10:13" x14ac:dyDescent="0.25">
      <c r="J56" t="s">
        <v>1278</v>
      </c>
      <c r="K56" t="s">
        <v>1258</v>
      </c>
      <c r="L56" t="s">
        <v>1226</v>
      </c>
      <c r="M56" t="s">
        <v>1103</v>
      </c>
    </row>
    <row r="57" spans="10:13" x14ac:dyDescent="0.25">
      <c r="J57" t="s">
        <v>1279</v>
      </c>
      <c r="K57" t="s">
        <v>1258</v>
      </c>
      <c r="L57" t="s">
        <v>1280</v>
      </c>
      <c r="M57" t="s">
        <v>1103</v>
      </c>
    </row>
    <row r="58" spans="10:13" x14ac:dyDescent="0.25">
      <c r="J58" t="s">
        <v>1281</v>
      </c>
      <c r="K58" t="s">
        <v>1258</v>
      </c>
      <c r="L58" t="s">
        <v>1230</v>
      </c>
      <c r="M58" t="s">
        <v>1103</v>
      </c>
    </row>
    <row r="59" spans="10:13" x14ac:dyDescent="0.25">
      <c r="J59" t="s">
        <v>1282</v>
      </c>
      <c r="K59" t="s">
        <v>1258</v>
      </c>
      <c r="L59" t="s">
        <v>1184</v>
      </c>
      <c r="M59" t="s">
        <v>1103</v>
      </c>
    </row>
    <row r="60" spans="10:13" x14ac:dyDescent="0.25">
      <c r="J60" t="s">
        <v>1283</v>
      </c>
      <c r="K60" t="s">
        <v>1258</v>
      </c>
      <c r="L60" t="s">
        <v>1188</v>
      </c>
      <c r="M60" t="s">
        <v>1103</v>
      </c>
    </row>
    <row r="61" spans="10:13" x14ac:dyDescent="0.25">
      <c r="J61" t="s">
        <v>1284</v>
      </c>
      <c r="K61" t="s">
        <v>1258</v>
      </c>
      <c r="L61" t="s">
        <v>1150</v>
      </c>
      <c r="M61" t="s">
        <v>1103</v>
      </c>
    </row>
    <row r="62" spans="10:13" x14ac:dyDescent="0.25">
      <c r="J62" t="s">
        <v>1285</v>
      </c>
      <c r="K62" t="s">
        <v>1258</v>
      </c>
      <c r="L62" t="s">
        <v>1180</v>
      </c>
      <c r="M62" t="s">
        <v>1103</v>
      </c>
    </row>
    <row r="63" spans="10:13" x14ac:dyDescent="0.25">
      <c r="J63" t="s">
        <v>1286</v>
      </c>
      <c r="K63" t="s">
        <v>1261</v>
      </c>
      <c r="L63" t="s">
        <v>1103</v>
      </c>
      <c r="M63" t="s">
        <v>1103</v>
      </c>
    </row>
    <row r="64" spans="10:13" x14ac:dyDescent="0.25">
      <c r="J64" t="s">
        <v>1287</v>
      </c>
      <c r="K64" t="s">
        <v>1261</v>
      </c>
      <c r="L64" t="s">
        <v>1194</v>
      </c>
      <c r="M64" t="s">
        <v>1103</v>
      </c>
    </row>
    <row r="65" spans="10:13" x14ac:dyDescent="0.25">
      <c r="J65" t="s">
        <v>1288</v>
      </c>
      <c r="K65" t="s">
        <v>1261</v>
      </c>
      <c r="L65" t="s">
        <v>1198</v>
      </c>
      <c r="M65" t="s">
        <v>1103</v>
      </c>
    </row>
    <row r="66" spans="10:13" x14ac:dyDescent="0.25">
      <c r="J66" t="s">
        <v>1289</v>
      </c>
      <c r="K66" t="s">
        <v>1261</v>
      </c>
      <c r="L66" t="s">
        <v>1208</v>
      </c>
      <c r="M66" t="s">
        <v>1103</v>
      </c>
    </row>
    <row r="67" spans="10:13" x14ac:dyDescent="0.25">
      <c r="J67" t="s">
        <v>1290</v>
      </c>
      <c r="K67" t="s">
        <v>1291</v>
      </c>
      <c r="L67" t="s">
        <v>1103</v>
      </c>
      <c r="M67" t="s">
        <v>1103</v>
      </c>
    </row>
    <row r="68" spans="10:13" x14ac:dyDescent="0.25">
      <c r="J68" t="s">
        <v>1292</v>
      </c>
      <c r="K68" t="s">
        <v>1293</v>
      </c>
      <c r="L68" t="s">
        <v>1103</v>
      </c>
      <c r="M68" t="s">
        <v>1103</v>
      </c>
    </row>
    <row r="69" spans="10:13" x14ac:dyDescent="0.25">
      <c r="J69" t="s">
        <v>1294</v>
      </c>
      <c r="K69" t="s">
        <v>1293</v>
      </c>
      <c r="L69" t="s">
        <v>1295</v>
      </c>
      <c r="M69" t="s">
        <v>1103</v>
      </c>
    </row>
    <row r="70" spans="10:13" x14ac:dyDescent="0.25">
      <c r="J70" t="s">
        <v>1296</v>
      </c>
      <c r="K70" t="s">
        <v>1293</v>
      </c>
      <c r="L70" t="s">
        <v>1184</v>
      </c>
      <c r="M70" t="s">
        <v>1103</v>
      </c>
    </row>
    <row r="71" spans="10:13" x14ac:dyDescent="0.25">
      <c r="J71" t="s">
        <v>1297</v>
      </c>
      <c r="K71" t="s">
        <v>1293</v>
      </c>
      <c r="L71" t="s">
        <v>1188</v>
      </c>
      <c r="M71" t="s">
        <v>1103</v>
      </c>
    </row>
    <row r="72" spans="10:13" x14ac:dyDescent="0.25">
      <c r="J72" t="s">
        <v>1298</v>
      </c>
      <c r="K72" t="s">
        <v>1293</v>
      </c>
      <c r="L72" t="s">
        <v>1299</v>
      </c>
      <c r="M72" t="s">
        <v>1103</v>
      </c>
    </row>
    <row r="73" spans="10:13" x14ac:dyDescent="0.25">
      <c r="J73" t="s">
        <v>1300</v>
      </c>
      <c r="K73" t="s">
        <v>1293</v>
      </c>
      <c r="L73" t="s">
        <v>1150</v>
      </c>
      <c r="M73" t="s">
        <v>1103</v>
      </c>
    </row>
    <row r="74" spans="10:13" x14ac:dyDescent="0.25">
      <c r="J74" t="s">
        <v>1301</v>
      </c>
      <c r="K74" t="s">
        <v>1293</v>
      </c>
      <c r="L74" t="s">
        <v>1208</v>
      </c>
      <c r="M74" t="s">
        <v>1103</v>
      </c>
    </row>
    <row r="75" spans="10:13" x14ac:dyDescent="0.25">
      <c r="J75" t="s">
        <v>1302</v>
      </c>
      <c r="K75" t="s">
        <v>1303</v>
      </c>
      <c r="L75" t="s">
        <v>1304</v>
      </c>
      <c r="M75" t="s">
        <v>1103</v>
      </c>
    </row>
    <row r="76" spans="10:13" x14ac:dyDescent="0.25">
      <c r="J76" t="s">
        <v>1305</v>
      </c>
      <c r="K76" t="s">
        <v>1306</v>
      </c>
      <c r="L76" t="s">
        <v>1304</v>
      </c>
      <c r="M76" t="s">
        <v>1103</v>
      </c>
    </row>
    <row r="77" spans="10:13" x14ac:dyDescent="0.25">
      <c r="J77" t="s">
        <v>1307</v>
      </c>
      <c r="K77" t="s">
        <v>1308</v>
      </c>
      <c r="L77" t="s">
        <v>1103</v>
      </c>
      <c r="M77" t="s">
        <v>1103</v>
      </c>
    </row>
    <row r="78" spans="10:13" x14ac:dyDescent="0.25">
      <c r="J78" t="s">
        <v>1309</v>
      </c>
      <c r="K78" t="s">
        <v>1310</v>
      </c>
      <c r="L78" t="s">
        <v>1103</v>
      </c>
      <c r="M78" t="s">
        <v>1103</v>
      </c>
    </row>
    <row r="79" spans="10:13" x14ac:dyDescent="0.25">
      <c r="J79" t="s">
        <v>75</v>
      </c>
      <c r="K79" t="s">
        <v>1311</v>
      </c>
      <c r="L79" t="s">
        <v>1103</v>
      </c>
      <c r="M79" t="s">
        <v>1103</v>
      </c>
    </row>
    <row r="80" spans="10:13" x14ac:dyDescent="0.25">
      <c r="J80" t="s">
        <v>1312</v>
      </c>
      <c r="K80" t="s">
        <v>1313</v>
      </c>
      <c r="L80" t="s">
        <v>1103</v>
      </c>
      <c r="M80" t="s">
        <v>1103</v>
      </c>
    </row>
    <row r="81" spans="10:13" x14ac:dyDescent="0.25">
      <c r="J81" t="s">
        <v>1314</v>
      </c>
      <c r="K81" t="s">
        <v>1315</v>
      </c>
      <c r="L81" t="s">
        <v>1316</v>
      </c>
      <c r="M81" t="s">
        <v>1103</v>
      </c>
    </row>
    <row r="82" spans="10:13" x14ac:dyDescent="0.25">
      <c r="J82" t="s">
        <v>1317</v>
      </c>
      <c r="K82" t="s">
        <v>1318</v>
      </c>
      <c r="L82" t="s">
        <v>1103</v>
      </c>
      <c r="M82" t="s">
        <v>1103</v>
      </c>
    </row>
    <row r="83" spans="10:13" x14ac:dyDescent="0.25">
      <c r="J83" t="s">
        <v>1319</v>
      </c>
      <c r="K83" t="s">
        <v>1320</v>
      </c>
      <c r="L83" t="s">
        <v>1103</v>
      </c>
      <c r="M83" t="s">
        <v>1103</v>
      </c>
    </row>
    <row r="84" spans="10:13" x14ac:dyDescent="0.25">
      <c r="J84" t="s">
        <v>1321</v>
      </c>
      <c r="K84" t="s">
        <v>1322</v>
      </c>
      <c r="L84" t="s">
        <v>1323</v>
      </c>
      <c r="M84" t="s">
        <v>1103</v>
      </c>
    </row>
    <row r="85" spans="10:13" x14ac:dyDescent="0.25">
      <c r="J85" t="s">
        <v>1324</v>
      </c>
      <c r="K85" t="s">
        <v>1325</v>
      </c>
      <c r="L85" t="s">
        <v>1313</v>
      </c>
      <c r="M85" t="s">
        <v>1103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RowSources256101">
    <tabColor theme="6"/>
  </sheetPr>
  <dimension ref="A1:M15"/>
  <sheetViews>
    <sheetView workbookViewId="0">
      <selection activeCell="B5" sqref="B5"/>
    </sheetView>
  </sheetViews>
  <sheetFormatPr defaultColWidth="9.140625" defaultRowHeight="15" x14ac:dyDescent="0.25"/>
  <cols>
    <col min="1" max="1" width="22" bestFit="1" customWidth="1"/>
    <col min="2" max="2" width="18" bestFit="1" customWidth="1"/>
    <col min="3" max="3" width="20.28515625" bestFit="1" customWidth="1"/>
    <col min="4" max="4" width="14.5703125" bestFit="1" customWidth="1"/>
    <col min="5" max="5" width="35.140625" bestFit="1" customWidth="1"/>
    <col min="6" max="6" width="24.5703125" bestFit="1" customWidth="1"/>
    <col min="7" max="7" width="39.85546875" bestFit="1" customWidth="1"/>
    <col min="8" max="8" width="28" bestFit="1" customWidth="1"/>
    <col min="9" max="9" width="33.42578125" bestFit="1" customWidth="1"/>
    <col min="10" max="10" width="12.5703125" bestFit="1" customWidth="1"/>
    <col min="11" max="13" width="24.85546875" bestFit="1" customWidth="1"/>
  </cols>
  <sheetData>
    <row r="1" spans="1:13" s="43" customFormat="1" x14ac:dyDescent="0.25">
      <c r="A1" s="43" t="s">
        <v>132</v>
      </c>
      <c r="B1" s="43" t="s">
        <v>133</v>
      </c>
      <c r="C1" s="43" t="s">
        <v>134</v>
      </c>
      <c r="D1" s="43" t="s">
        <v>139</v>
      </c>
      <c r="E1" s="43" t="s">
        <v>142</v>
      </c>
      <c r="F1" s="43" t="s">
        <v>141</v>
      </c>
      <c r="G1" s="43" t="s">
        <v>1893</v>
      </c>
      <c r="H1" s="43" t="s">
        <v>146</v>
      </c>
      <c r="I1" s="43" t="s">
        <v>1894</v>
      </c>
      <c r="J1" s="43" t="s">
        <v>1895</v>
      </c>
      <c r="K1" s="43" t="s">
        <v>1896</v>
      </c>
      <c r="L1" s="43" t="s">
        <v>1897</v>
      </c>
      <c r="M1" s="43" t="s">
        <v>1898</v>
      </c>
    </row>
    <row r="2" spans="1:13" x14ac:dyDescent="0.25">
      <c r="A2" t="s">
        <v>1326</v>
      </c>
      <c r="B2" t="s">
        <v>1327</v>
      </c>
      <c r="C2" t="s">
        <v>1328</v>
      </c>
      <c r="D2" t="s">
        <v>1105</v>
      </c>
      <c r="E2" t="s">
        <v>1329</v>
      </c>
      <c r="F2" t="s">
        <v>71</v>
      </c>
      <c r="G2" t="s">
        <v>1099</v>
      </c>
      <c r="H2" t="s">
        <v>1100</v>
      </c>
      <c r="I2" t="s">
        <v>72</v>
      </c>
      <c r="J2" t="s">
        <v>1330</v>
      </c>
      <c r="K2" t="s">
        <v>1331</v>
      </c>
      <c r="L2" t="s">
        <v>1103</v>
      </c>
      <c r="M2" t="s">
        <v>1103</v>
      </c>
    </row>
    <row r="3" spans="1:13" x14ac:dyDescent="0.25">
      <c r="A3" t="s">
        <v>1332</v>
      </c>
      <c r="B3" t="s">
        <v>1333</v>
      </c>
      <c r="C3" t="s">
        <v>1334</v>
      </c>
      <c r="F3" t="s">
        <v>1111</v>
      </c>
      <c r="G3" t="s">
        <v>1113</v>
      </c>
      <c r="I3" t="s">
        <v>1114</v>
      </c>
      <c r="J3" t="s">
        <v>1335</v>
      </c>
      <c r="K3" t="s">
        <v>1336</v>
      </c>
      <c r="L3" t="s">
        <v>1103</v>
      </c>
      <c r="M3" t="s">
        <v>1103</v>
      </c>
    </row>
    <row r="4" spans="1:13" x14ac:dyDescent="0.25">
      <c r="A4" t="s">
        <v>1337</v>
      </c>
      <c r="C4" t="s">
        <v>1338</v>
      </c>
      <c r="F4" t="s">
        <v>1121</v>
      </c>
      <c r="G4" t="s">
        <v>1100</v>
      </c>
      <c r="I4" t="s">
        <v>1122</v>
      </c>
      <c r="J4" t="s">
        <v>1339</v>
      </c>
      <c r="K4" t="s">
        <v>1340</v>
      </c>
      <c r="L4" t="s">
        <v>1103</v>
      </c>
      <c r="M4" t="s">
        <v>1103</v>
      </c>
    </row>
    <row r="5" spans="1:13" x14ac:dyDescent="0.25">
      <c r="A5" t="s">
        <v>1341</v>
      </c>
      <c r="C5" t="s">
        <v>1342</v>
      </c>
      <c r="F5" t="s">
        <v>1130</v>
      </c>
      <c r="G5" t="s">
        <v>1131</v>
      </c>
      <c r="I5" t="s">
        <v>1132</v>
      </c>
      <c r="J5" t="s">
        <v>1343</v>
      </c>
      <c r="K5" t="s">
        <v>1344</v>
      </c>
      <c r="L5" t="s">
        <v>1103</v>
      </c>
      <c r="M5" t="s">
        <v>1103</v>
      </c>
    </row>
    <row r="6" spans="1:13" x14ac:dyDescent="0.25">
      <c r="A6" t="s">
        <v>1345</v>
      </c>
      <c r="C6" t="s">
        <v>1346</v>
      </c>
      <c r="F6" t="s">
        <v>1139</v>
      </c>
      <c r="G6" t="s">
        <v>1140</v>
      </c>
      <c r="J6" t="s">
        <v>50</v>
      </c>
      <c r="K6" t="s">
        <v>1347</v>
      </c>
      <c r="L6" t="s">
        <v>1103</v>
      </c>
      <c r="M6" t="s">
        <v>1103</v>
      </c>
    </row>
    <row r="7" spans="1:13" x14ac:dyDescent="0.25">
      <c r="A7" t="s">
        <v>1348</v>
      </c>
      <c r="C7" t="s">
        <v>1349</v>
      </c>
      <c r="F7" t="s">
        <v>1147</v>
      </c>
      <c r="G7" t="s">
        <v>1148</v>
      </c>
      <c r="J7" t="s">
        <v>66</v>
      </c>
      <c r="K7" t="s">
        <v>1350</v>
      </c>
      <c r="L7" t="s">
        <v>1103</v>
      </c>
      <c r="M7" t="s">
        <v>1103</v>
      </c>
    </row>
    <row r="8" spans="1:13" x14ac:dyDescent="0.25">
      <c r="A8" t="s">
        <v>1351</v>
      </c>
      <c r="F8" t="s">
        <v>1160</v>
      </c>
      <c r="J8" t="s">
        <v>1352</v>
      </c>
      <c r="K8" t="s">
        <v>1353</v>
      </c>
      <c r="L8" t="s">
        <v>1103</v>
      </c>
      <c r="M8" t="s">
        <v>1103</v>
      </c>
    </row>
    <row r="9" spans="1:13" x14ac:dyDescent="0.25">
      <c r="A9" t="s">
        <v>1354</v>
      </c>
      <c r="F9" t="s">
        <v>1166</v>
      </c>
      <c r="J9" t="s">
        <v>1355</v>
      </c>
      <c r="K9" t="s">
        <v>1356</v>
      </c>
      <c r="L9" t="s">
        <v>1103</v>
      </c>
      <c r="M9" t="s">
        <v>1103</v>
      </c>
    </row>
    <row r="10" spans="1:13" x14ac:dyDescent="0.25">
      <c r="A10" t="s">
        <v>1357</v>
      </c>
      <c r="F10" t="s">
        <v>1172</v>
      </c>
      <c r="J10" t="s">
        <v>1358</v>
      </c>
      <c r="K10" t="s">
        <v>1359</v>
      </c>
      <c r="L10" t="s">
        <v>1103</v>
      </c>
      <c r="M10" t="s">
        <v>1103</v>
      </c>
    </row>
    <row r="11" spans="1:13" x14ac:dyDescent="0.25">
      <c r="A11" t="s">
        <v>1360</v>
      </c>
      <c r="F11" t="s">
        <v>1178</v>
      </c>
      <c r="J11" t="s">
        <v>1361</v>
      </c>
      <c r="K11" t="s">
        <v>1362</v>
      </c>
      <c r="L11" t="s">
        <v>1103</v>
      </c>
      <c r="M11" t="s">
        <v>1103</v>
      </c>
    </row>
    <row r="12" spans="1:13" x14ac:dyDescent="0.25">
      <c r="A12" t="s">
        <v>1363</v>
      </c>
    </row>
    <row r="13" spans="1:13" x14ac:dyDescent="0.25">
      <c r="A13" t="s">
        <v>1364</v>
      </c>
    </row>
    <row r="14" spans="1:13" x14ac:dyDescent="0.25">
      <c r="A14" t="s">
        <v>1365</v>
      </c>
    </row>
    <row r="15" spans="1:13" x14ac:dyDescent="0.25">
      <c r="A15" t="s">
        <v>1366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RowSources296101">
    <tabColor theme="6"/>
  </sheetPr>
  <dimension ref="A1:R94"/>
  <sheetViews>
    <sheetView workbookViewId="0">
      <selection activeCell="C25" sqref="C25"/>
    </sheetView>
  </sheetViews>
  <sheetFormatPr defaultColWidth="9.140625" defaultRowHeight="15" x14ac:dyDescent="0.25"/>
  <cols>
    <col min="1" max="1" width="23.42578125" bestFit="1" customWidth="1"/>
    <col min="2" max="3" width="25" bestFit="1" customWidth="1"/>
    <col min="4" max="4" width="23.7109375" bestFit="1" customWidth="1"/>
    <col min="5" max="5" width="22.28515625" bestFit="1" customWidth="1"/>
    <col min="6" max="6" width="24.85546875" bestFit="1" customWidth="1"/>
    <col min="7" max="7" width="26.42578125" bestFit="1" customWidth="1"/>
    <col min="8" max="8" width="38.7109375" bestFit="1" customWidth="1"/>
    <col min="9" max="9" width="26.42578125" bestFit="1" customWidth="1"/>
    <col min="10" max="10" width="7.5703125" bestFit="1" customWidth="1"/>
    <col min="11" max="11" width="34.140625" bestFit="1" customWidth="1"/>
    <col min="12" max="12" width="36.28515625" bestFit="1" customWidth="1"/>
    <col min="13" max="13" width="33" bestFit="1" customWidth="1"/>
    <col min="14" max="14" width="30.28515625" bestFit="1" customWidth="1"/>
    <col min="15" max="15" width="40.42578125" bestFit="1" customWidth="1"/>
    <col min="16" max="16" width="14.5703125" bestFit="1" customWidth="1"/>
    <col min="17" max="17" width="33" bestFit="1" customWidth="1"/>
    <col min="18" max="18" width="37.28515625" bestFit="1" customWidth="1"/>
  </cols>
  <sheetData>
    <row r="1" spans="1:18" s="43" customFormat="1" x14ac:dyDescent="0.25">
      <c r="A1" s="43" t="s">
        <v>132</v>
      </c>
      <c r="B1" s="43" t="s">
        <v>133</v>
      </c>
      <c r="C1" s="43" t="s">
        <v>134</v>
      </c>
      <c r="D1" s="43" t="s">
        <v>139</v>
      </c>
      <c r="E1" s="43" t="s">
        <v>142</v>
      </c>
      <c r="F1" s="43" t="s">
        <v>141</v>
      </c>
      <c r="G1" s="43" t="s">
        <v>1893</v>
      </c>
      <c r="H1" s="43" t="s">
        <v>146</v>
      </c>
      <c r="I1" s="43" t="s">
        <v>1894</v>
      </c>
      <c r="J1" s="43" t="s">
        <v>1895</v>
      </c>
      <c r="K1" s="43" t="s">
        <v>1896</v>
      </c>
      <c r="L1" s="43" t="s">
        <v>1897</v>
      </c>
      <c r="M1" s="43" t="s">
        <v>1898</v>
      </c>
      <c r="N1" s="43" t="s">
        <v>1899</v>
      </c>
      <c r="O1" s="43" t="s">
        <v>1900</v>
      </c>
      <c r="P1" s="43" t="s">
        <v>1901</v>
      </c>
      <c r="Q1" s="43" t="s">
        <v>1902</v>
      </c>
      <c r="R1" s="43" t="s">
        <v>1903</v>
      </c>
    </row>
    <row r="2" spans="1:18" x14ac:dyDescent="0.25">
      <c r="A2" t="s">
        <v>28</v>
      </c>
      <c r="B2" t="s">
        <v>1369</v>
      </c>
      <c r="C2" t="s">
        <v>1328</v>
      </c>
      <c r="D2" t="s">
        <v>1370</v>
      </c>
      <c r="E2" t="s">
        <v>1368</v>
      </c>
      <c r="F2" t="s">
        <v>31</v>
      </c>
      <c r="G2" t="s">
        <v>1377</v>
      </c>
      <c r="H2" t="s">
        <v>1378</v>
      </c>
      <c r="I2" t="s">
        <v>1379</v>
      </c>
      <c r="J2" t="s">
        <v>1380</v>
      </c>
      <c r="K2" t="s">
        <v>1381</v>
      </c>
      <c r="L2" t="s">
        <v>1103</v>
      </c>
      <c r="M2" t="s">
        <v>1103</v>
      </c>
      <c r="N2" t="s">
        <v>1371</v>
      </c>
      <c r="O2" t="s">
        <v>1382</v>
      </c>
      <c r="P2" t="s">
        <v>1383</v>
      </c>
      <c r="Q2" t="s">
        <v>1384</v>
      </c>
      <c r="R2" t="s">
        <v>1401</v>
      </c>
    </row>
    <row r="3" spans="1:18" x14ac:dyDescent="0.25">
      <c r="A3" t="s">
        <v>1404</v>
      </c>
      <c r="B3" t="s">
        <v>1387</v>
      </c>
      <c r="C3" t="s">
        <v>1334</v>
      </c>
      <c r="D3" t="s">
        <v>1388</v>
      </c>
      <c r="E3" t="s">
        <v>1386</v>
      </c>
      <c r="F3" t="s">
        <v>1395</v>
      </c>
      <c r="G3" t="s">
        <v>1396</v>
      </c>
      <c r="H3" t="s">
        <v>1397</v>
      </c>
      <c r="I3" t="s">
        <v>78</v>
      </c>
      <c r="J3" t="s">
        <v>1398</v>
      </c>
      <c r="K3" t="s">
        <v>1399</v>
      </c>
      <c r="L3" t="s">
        <v>1103</v>
      </c>
      <c r="M3" t="s">
        <v>1103</v>
      </c>
      <c r="N3" t="s">
        <v>22</v>
      </c>
      <c r="O3" t="s">
        <v>1400</v>
      </c>
    </row>
    <row r="4" spans="1:18" x14ac:dyDescent="0.25">
      <c r="A4" t="s">
        <v>10</v>
      </c>
      <c r="B4" t="s">
        <v>1405</v>
      </c>
      <c r="C4" t="s">
        <v>1406</v>
      </c>
      <c r="D4" t="s">
        <v>1407</v>
      </c>
      <c r="E4" t="s">
        <v>1403</v>
      </c>
      <c r="F4" t="s">
        <v>16</v>
      </c>
      <c r="H4" t="s">
        <v>1412</v>
      </c>
      <c r="I4" t="s">
        <v>1413</v>
      </c>
      <c r="J4" t="s">
        <v>1414</v>
      </c>
      <c r="K4" t="s">
        <v>1415</v>
      </c>
      <c r="L4" t="s">
        <v>1103</v>
      </c>
      <c r="M4" t="s">
        <v>1103</v>
      </c>
      <c r="N4" t="s">
        <v>35</v>
      </c>
      <c r="O4" t="s">
        <v>1416</v>
      </c>
    </row>
    <row r="5" spans="1:18" x14ac:dyDescent="0.25">
      <c r="A5" t="s">
        <v>54</v>
      </c>
      <c r="B5" t="s">
        <v>1419</v>
      </c>
      <c r="C5" t="s">
        <v>1342</v>
      </c>
      <c r="D5" t="s">
        <v>57</v>
      </c>
      <c r="E5" t="s">
        <v>1418</v>
      </c>
      <c r="F5" t="s">
        <v>1425</v>
      </c>
      <c r="H5" t="s">
        <v>1426</v>
      </c>
      <c r="I5" t="s">
        <v>59</v>
      </c>
      <c r="J5" t="s">
        <v>1427</v>
      </c>
      <c r="K5" t="s">
        <v>1428</v>
      </c>
      <c r="L5" t="s">
        <v>1429</v>
      </c>
      <c r="M5" t="s">
        <v>1103</v>
      </c>
      <c r="O5" t="s">
        <v>1430</v>
      </c>
    </row>
    <row r="6" spans="1:18" x14ac:dyDescent="0.25">
      <c r="A6" t="s">
        <v>1443</v>
      </c>
      <c r="B6" t="s">
        <v>64</v>
      </c>
      <c r="C6" t="s">
        <v>1432</v>
      </c>
      <c r="D6" t="s">
        <v>1433</v>
      </c>
      <c r="F6" t="s">
        <v>1438</v>
      </c>
      <c r="H6" t="s">
        <v>1396</v>
      </c>
      <c r="J6" t="s">
        <v>1439</v>
      </c>
      <c r="K6" t="s">
        <v>1440</v>
      </c>
      <c r="L6" t="s">
        <v>1441</v>
      </c>
      <c r="M6" t="s">
        <v>1103</v>
      </c>
      <c r="O6" t="s">
        <v>1442</v>
      </c>
    </row>
    <row r="7" spans="1:18" x14ac:dyDescent="0.25">
      <c r="A7" t="s">
        <v>1420</v>
      </c>
      <c r="B7" t="s">
        <v>80</v>
      </c>
      <c r="C7" t="s">
        <v>56</v>
      </c>
      <c r="D7" t="s">
        <v>1444</v>
      </c>
      <c r="F7" t="s">
        <v>1448</v>
      </c>
      <c r="H7" t="s">
        <v>1449</v>
      </c>
      <c r="J7" t="s">
        <v>1450</v>
      </c>
      <c r="K7" t="s">
        <v>1451</v>
      </c>
      <c r="L7" t="s">
        <v>1452</v>
      </c>
      <c r="M7" t="s">
        <v>1103</v>
      </c>
      <c r="O7" t="s">
        <v>1453</v>
      </c>
    </row>
    <row r="8" spans="1:18" x14ac:dyDescent="0.25">
      <c r="A8" t="s">
        <v>79</v>
      </c>
      <c r="B8" t="s">
        <v>1454</v>
      </c>
      <c r="C8" t="s">
        <v>1455</v>
      </c>
      <c r="D8" t="s">
        <v>1456</v>
      </c>
      <c r="F8" t="s">
        <v>58</v>
      </c>
      <c r="J8" t="s">
        <v>1458</v>
      </c>
      <c r="K8" t="s">
        <v>1459</v>
      </c>
      <c r="L8" t="s">
        <v>1441</v>
      </c>
      <c r="M8" t="s">
        <v>1103</v>
      </c>
      <c r="O8" t="s">
        <v>1460</v>
      </c>
    </row>
    <row r="9" spans="1:18" x14ac:dyDescent="0.25">
      <c r="B9" t="s">
        <v>29</v>
      </c>
      <c r="C9" t="s">
        <v>30</v>
      </c>
      <c r="D9" t="s">
        <v>1375</v>
      </c>
      <c r="F9" t="s">
        <v>1461</v>
      </c>
      <c r="J9" t="s">
        <v>1462</v>
      </c>
      <c r="K9" t="s">
        <v>1463</v>
      </c>
      <c r="L9" t="s">
        <v>1429</v>
      </c>
      <c r="M9" t="s">
        <v>1103</v>
      </c>
      <c r="O9" t="s">
        <v>1464</v>
      </c>
    </row>
    <row r="10" spans="1:18" x14ac:dyDescent="0.25">
      <c r="B10" t="s">
        <v>1392</v>
      </c>
      <c r="C10" t="s">
        <v>1465</v>
      </c>
      <c r="D10" t="s">
        <v>1391</v>
      </c>
      <c r="F10" t="s">
        <v>1467</v>
      </c>
      <c r="J10" t="s">
        <v>33</v>
      </c>
      <c r="K10" t="s">
        <v>1468</v>
      </c>
      <c r="L10" t="s">
        <v>1103</v>
      </c>
      <c r="M10" t="s">
        <v>1103</v>
      </c>
      <c r="O10" t="s">
        <v>1469</v>
      </c>
    </row>
    <row r="11" spans="1:18" x14ac:dyDescent="0.25">
      <c r="B11" t="s">
        <v>1410</v>
      </c>
      <c r="C11" t="s">
        <v>1374</v>
      </c>
      <c r="D11" t="s">
        <v>1409</v>
      </c>
      <c r="F11" t="s">
        <v>77</v>
      </c>
      <c r="J11" t="s">
        <v>1471</v>
      </c>
      <c r="K11" t="s">
        <v>1472</v>
      </c>
      <c r="L11" t="s">
        <v>1103</v>
      </c>
      <c r="M11" t="s">
        <v>1103</v>
      </c>
      <c r="O11" t="s">
        <v>1473</v>
      </c>
    </row>
    <row r="12" spans="1:18" x14ac:dyDescent="0.25">
      <c r="B12" t="s">
        <v>1474</v>
      </c>
      <c r="C12" t="s">
        <v>1475</v>
      </c>
      <c r="D12" t="s">
        <v>1421</v>
      </c>
      <c r="J12" t="s">
        <v>63</v>
      </c>
      <c r="K12" t="s">
        <v>1477</v>
      </c>
      <c r="L12" t="s">
        <v>1103</v>
      </c>
      <c r="M12" t="s">
        <v>1103</v>
      </c>
      <c r="O12" t="s">
        <v>1478</v>
      </c>
    </row>
    <row r="13" spans="1:18" x14ac:dyDescent="0.25">
      <c r="B13" t="s">
        <v>1479</v>
      </c>
      <c r="C13" t="s">
        <v>1480</v>
      </c>
      <c r="D13" t="s">
        <v>1434</v>
      </c>
      <c r="J13" t="s">
        <v>1482</v>
      </c>
      <c r="K13" t="s">
        <v>1483</v>
      </c>
      <c r="L13" t="s">
        <v>1103</v>
      </c>
      <c r="M13" t="s">
        <v>1103</v>
      </c>
      <c r="O13" t="s">
        <v>1163</v>
      </c>
    </row>
    <row r="14" spans="1:18" x14ac:dyDescent="0.25">
      <c r="B14" t="s">
        <v>1484</v>
      </c>
      <c r="C14" t="s">
        <v>1485</v>
      </c>
      <c r="D14" t="s">
        <v>1486</v>
      </c>
      <c r="J14" t="s">
        <v>1488</v>
      </c>
      <c r="K14" t="s">
        <v>1489</v>
      </c>
      <c r="L14" t="s">
        <v>1103</v>
      </c>
      <c r="M14" t="s">
        <v>1103</v>
      </c>
      <c r="O14" t="s">
        <v>1490</v>
      </c>
    </row>
    <row r="15" spans="1:18" x14ac:dyDescent="0.25">
      <c r="B15" t="s">
        <v>11</v>
      </c>
      <c r="C15" t="s">
        <v>1491</v>
      </c>
      <c r="D15" t="s">
        <v>1492</v>
      </c>
      <c r="J15" t="s">
        <v>1330</v>
      </c>
      <c r="K15" t="s">
        <v>1494</v>
      </c>
      <c r="L15" t="s">
        <v>1103</v>
      </c>
      <c r="M15" t="s">
        <v>1103</v>
      </c>
      <c r="O15" t="s">
        <v>1495</v>
      </c>
    </row>
    <row r="16" spans="1:18" x14ac:dyDescent="0.25">
      <c r="B16" t="s">
        <v>1496</v>
      </c>
      <c r="C16" t="s">
        <v>1497</v>
      </c>
      <c r="D16" t="s">
        <v>1498</v>
      </c>
      <c r="J16" t="s">
        <v>1499</v>
      </c>
      <c r="K16" t="s">
        <v>1500</v>
      </c>
      <c r="L16" t="s">
        <v>1103</v>
      </c>
      <c r="M16" t="s">
        <v>1103</v>
      </c>
      <c r="O16" t="s">
        <v>1501</v>
      </c>
    </row>
    <row r="17" spans="2:15" x14ac:dyDescent="0.25">
      <c r="B17" t="s">
        <v>1502</v>
      </c>
      <c r="C17" t="s">
        <v>1503</v>
      </c>
      <c r="D17" t="s">
        <v>1504</v>
      </c>
      <c r="J17" t="s">
        <v>1339</v>
      </c>
      <c r="K17" t="s">
        <v>1505</v>
      </c>
      <c r="L17" t="s">
        <v>1103</v>
      </c>
      <c r="M17" t="s">
        <v>1103</v>
      </c>
      <c r="O17" t="s">
        <v>1506</v>
      </c>
    </row>
    <row r="18" spans="2:15" x14ac:dyDescent="0.25">
      <c r="B18" t="s">
        <v>1507</v>
      </c>
      <c r="C18" t="s">
        <v>1508</v>
      </c>
      <c r="D18" t="s">
        <v>1509</v>
      </c>
      <c r="J18" t="s">
        <v>1510</v>
      </c>
      <c r="K18" t="s">
        <v>1511</v>
      </c>
      <c r="L18" t="s">
        <v>1103</v>
      </c>
      <c r="M18" t="s">
        <v>1103</v>
      </c>
    </row>
    <row r="19" spans="2:15" x14ac:dyDescent="0.25">
      <c r="B19" t="s">
        <v>1512</v>
      </c>
      <c r="C19" t="s">
        <v>1513</v>
      </c>
      <c r="D19" t="s">
        <v>15</v>
      </c>
      <c r="J19" t="s">
        <v>1343</v>
      </c>
      <c r="K19" t="s">
        <v>1514</v>
      </c>
      <c r="L19" t="s">
        <v>1103</v>
      </c>
      <c r="M19" t="s">
        <v>1103</v>
      </c>
    </row>
    <row r="20" spans="2:15" x14ac:dyDescent="0.25">
      <c r="B20" t="s">
        <v>1515</v>
      </c>
      <c r="C20" t="s">
        <v>1516</v>
      </c>
      <c r="D20" t="s">
        <v>1517</v>
      </c>
      <c r="J20" t="s">
        <v>1518</v>
      </c>
      <c r="K20" t="s">
        <v>1519</v>
      </c>
      <c r="L20" t="s">
        <v>1103</v>
      </c>
      <c r="M20" t="s">
        <v>1103</v>
      </c>
    </row>
    <row r="21" spans="2:15" x14ac:dyDescent="0.25">
      <c r="B21" t="s">
        <v>55</v>
      </c>
      <c r="C21" t="s">
        <v>1520</v>
      </c>
      <c r="D21" t="s">
        <v>1521</v>
      </c>
      <c r="J21" t="s">
        <v>1522</v>
      </c>
      <c r="K21" t="s">
        <v>1523</v>
      </c>
      <c r="L21" t="s">
        <v>1103</v>
      </c>
      <c r="M21" t="s">
        <v>1103</v>
      </c>
    </row>
    <row r="22" spans="2:15" x14ac:dyDescent="0.25">
      <c r="B22" t="s">
        <v>1524</v>
      </c>
      <c r="C22" t="s">
        <v>1525</v>
      </c>
      <c r="D22" t="s">
        <v>1526</v>
      </c>
      <c r="J22" t="s">
        <v>50</v>
      </c>
      <c r="K22" t="s">
        <v>1527</v>
      </c>
      <c r="L22" t="s">
        <v>1103</v>
      </c>
      <c r="M22" t="s">
        <v>1103</v>
      </c>
    </row>
    <row r="23" spans="2:15" x14ac:dyDescent="0.25">
      <c r="C23" t="s">
        <v>1528</v>
      </c>
      <c r="D23" t="s">
        <v>1529</v>
      </c>
      <c r="J23" t="s">
        <v>66</v>
      </c>
      <c r="K23" t="s">
        <v>1530</v>
      </c>
      <c r="L23" t="s">
        <v>1103</v>
      </c>
      <c r="M23" t="s">
        <v>1103</v>
      </c>
    </row>
    <row r="24" spans="2:15" x14ac:dyDescent="0.25">
      <c r="C24" t="s">
        <v>1531</v>
      </c>
      <c r="D24" t="s">
        <v>1532</v>
      </c>
      <c r="J24" t="s">
        <v>1352</v>
      </c>
      <c r="K24" t="s">
        <v>1533</v>
      </c>
      <c r="L24" t="s">
        <v>1103</v>
      </c>
      <c r="M24" t="s">
        <v>1103</v>
      </c>
    </row>
    <row r="25" spans="2:15" x14ac:dyDescent="0.25">
      <c r="C25" t="s">
        <v>1534</v>
      </c>
      <c r="D25" t="s">
        <v>1535</v>
      </c>
      <c r="J25" t="s">
        <v>1536</v>
      </c>
      <c r="K25" t="s">
        <v>1537</v>
      </c>
      <c r="L25" t="s">
        <v>1103</v>
      </c>
      <c r="M25" t="s">
        <v>1103</v>
      </c>
    </row>
    <row r="26" spans="2:15" x14ac:dyDescent="0.25">
      <c r="C26" t="s">
        <v>1538</v>
      </c>
      <c r="D26" t="s">
        <v>1539</v>
      </c>
      <c r="J26" t="s">
        <v>1540</v>
      </c>
      <c r="K26" t="s">
        <v>1541</v>
      </c>
      <c r="L26" t="s">
        <v>1103</v>
      </c>
      <c r="M26" t="s">
        <v>1103</v>
      </c>
    </row>
    <row r="27" spans="2:15" x14ac:dyDescent="0.25">
      <c r="C27" t="s">
        <v>1542</v>
      </c>
      <c r="D27" t="s">
        <v>1543</v>
      </c>
      <c r="J27" t="s">
        <v>1355</v>
      </c>
      <c r="K27" t="s">
        <v>1544</v>
      </c>
      <c r="L27" t="s">
        <v>1103</v>
      </c>
      <c r="M27" t="s">
        <v>1103</v>
      </c>
    </row>
    <row r="28" spans="2:15" x14ac:dyDescent="0.25">
      <c r="C28" t="s">
        <v>1545</v>
      </c>
      <c r="D28" t="s">
        <v>1546</v>
      </c>
      <c r="J28" t="s">
        <v>1358</v>
      </c>
      <c r="K28" t="s">
        <v>1547</v>
      </c>
      <c r="L28" t="s">
        <v>1103</v>
      </c>
      <c r="M28" t="s">
        <v>1103</v>
      </c>
    </row>
    <row r="29" spans="2:15" x14ac:dyDescent="0.25">
      <c r="C29" t="s">
        <v>1408</v>
      </c>
      <c r="D29" t="s">
        <v>1548</v>
      </c>
      <c r="J29" t="s">
        <v>1361</v>
      </c>
      <c r="K29" t="s">
        <v>1549</v>
      </c>
      <c r="L29" t="s">
        <v>1103</v>
      </c>
      <c r="M29" t="s">
        <v>1103</v>
      </c>
    </row>
    <row r="30" spans="2:15" x14ac:dyDescent="0.25">
      <c r="C30" t="s">
        <v>1550</v>
      </c>
      <c r="J30" t="s">
        <v>1551</v>
      </c>
      <c r="K30" t="s">
        <v>1552</v>
      </c>
      <c r="L30" t="s">
        <v>1103</v>
      </c>
      <c r="M30" t="s">
        <v>1103</v>
      </c>
    </row>
    <row r="31" spans="2:15" x14ac:dyDescent="0.25">
      <c r="C31" t="s">
        <v>12</v>
      </c>
      <c r="J31" t="s">
        <v>1553</v>
      </c>
      <c r="K31" t="s">
        <v>1554</v>
      </c>
      <c r="L31" t="s">
        <v>1103</v>
      </c>
      <c r="M31" t="s">
        <v>1103</v>
      </c>
    </row>
    <row r="32" spans="2:15" x14ac:dyDescent="0.25">
      <c r="C32" t="s">
        <v>65</v>
      </c>
      <c r="J32" t="s">
        <v>1555</v>
      </c>
      <c r="K32" t="s">
        <v>1556</v>
      </c>
      <c r="L32" t="s">
        <v>1527</v>
      </c>
      <c r="M32" t="s">
        <v>1103</v>
      </c>
    </row>
    <row r="33" spans="3:13" x14ac:dyDescent="0.25">
      <c r="C33" t="s">
        <v>1217</v>
      </c>
      <c r="J33" t="s">
        <v>1557</v>
      </c>
      <c r="K33" t="s">
        <v>1558</v>
      </c>
      <c r="L33" t="s">
        <v>1527</v>
      </c>
      <c r="M33" t="s">
        <v>1103</v>
      </c>
    </row>
    <row r="34" spans="3:13" x14ac:dyDescent="0.25">
      <c r="C34" t="s">
        <v>1559</v>
      </c>
      <c r="J34" t="s">
        <v>1560</v>
      </c>
      <c r="K34" t="s">
        <v>1561</v>
      </c>
      <c r="L34" t="s">
        <v>1562</v>
      </c>
      <c r="M34" t="s">
        <v>1103</v>
      </c>
    </row>
    <row r="35" spans="3:13" x14ac:dyDescent="0.25">
      <c r="C35" t="s">
        <v>1563</v>
      </c>
      <c r="J35" t="s">
        <v>1564</v>
      </c>
      <c r="K35" t="s">
        <v>1565</v>
      </c>
      <c r="L35" t="s">
        <v>1527</v>
      </c>
      <c r="M35" t="s">
        <v>1103</v>
      </c>
    </row>
    <row r="36" spans="3:13" x14ac:dyDescent="0.25">
      <c r="C36" t="s">
        <v>81</v>
      </c>
      <c r="J36" t="s">
        <v>1566</v>
      </c>
      <c r="K36" t="s">
        <v>1567</v>
      </c>
      <c r="L36" t="s">
        <v>1568</v>
      </c>
      <c r="M36" t="s">
        <v>1533</v>
      </c>
    </row>
    <row r="37" spans="3:13" x14ac:dyDescent="0.25">
      <c r="C37" t="s">
        <v>1569</v>
      </c>
      <c r="J37" t="s">
        <v>1570</v>
      </c>
      <c r="K37" t="s">
        <v>1567</v>
      </c>
      <c r="L37" t="s">
        <v>1527</v>
      </c>
      <c r="M37" t="s">
        <v>1103</v>
      </c>
    </row>
    <row r="38" spans="3:13" x14ac:dyDescent="0.25">
      <c r="C38" t="s">
        <v>1571</v>
      </c>
      <c r="J38" t="s">
        <v>1572</v>
      </c>
      <c r="K38" t="s">
        <v>1567</v>
      </c>
      <c r="L38" t="s">
        <v>1533</v>
      </c>
      <c r="M38" t="s">
        <v>1103</v>
      </c>
    </row>
    <row r="39" spans="3:13" x14ac:dyDescent="0.25">
      <c r="C39" t="s">
        <v>1573</v>
      </c>
      <c r="J39" t="s">
        <v>1574</v>
      </c>
      <c r="K39" t="s">
        <v>1575</v>
      </c>
      <c r="L39" t="s">
        <v>1527</v>
      </c>
      <c r="M39" t="s">
        <v>1103</v>
      </c>
    </row>
    <row r="40" spans="3:13" x14ac:dyDescent="0.25">
      <c r="C40" t="s">
        <v>1576</v>
      </c>
      <c r="J40" t="s">
        <v>1577</v>
      </c>
      <c r="K40" t="s">
        <v>1578</v>
      </c>
      <c r="L40" t="s">
        <v>1527</v>
      </c>
      <c r="M40" t="s">
        <v>1103</v>
      </c>
    </row>
    <row r="41" spans="3:13" x14ac:dyDescent="0.25">
      <c r="C41" t="s">
        <v>1445</v>
      </c>
      <c r="J41" t="s">
        <v>1579</v>
      </c>
      <c r="K41" t="s">
        <v>1561</v>
      </c>
      <c r="L41" t="s">
        <v>1533</v>
      </c>
      <c r="M41" t="s">
        <v>1103</v>
      </c>
    </row>
    <row r="42" spans="3:13" x14ac:dyDescent="0.25">
      <c r="C42" t="s">
        <v>1580</v>
      </c>
      <c r="J42" t="s">
        <v>1581</v>
      </c>
      <c r="K42" t="s">
        <v>1561</v>
      </c>
      <c r="L42" t="s">
        <v>1547</v>
      </c>
      <c r="M42" t="s">
        <v>1103</v>
      </c>
    </row>
    <row r="43" spans="3:13" x14ac:dyDescent="0.25">
      <c r="C43" t="s">
        <v>1582</v>
      </c>
      <c r="J43" t="s">
        <v>1583</v>
      </c>
      <c r="K43" t="s">
        <v>1584</v>
      </c>
      <c r="L43" t="s">
        <v>1585</v>
      </c>
      <c r="M43" t="s">
        <v>1103</v>
      </c>
    </row>
    <row r="44" spans="3:13" x14ac:dyDescent="0.25">
      <c r="C44" t="s">
        <v>1586</v>
      </c>
      <c r="J44" t="s">
        <v>1587</v>
      </c>
      <c r="K44" t="s">
        <v>1588</v>
      </c>
      <c r="L44" t="s">
        <v>1589</v>
      </c>
      <c r="M44" t="s">
        <v>1103</v>
      </c>
    </row>
    <row r="45" spans="3:13" x14ac:dyDescent="0.25">
      <c r="C45" t="s">
        <v>1590</v>
      </c>
      <c r="J45" t="s">
        <v>1591</v>
      </c>
      <c r="K45" t="s">
        <v>1592</v>
      </c>
      <c r="L45" t="s">
        <v>1527</v>
      </c>
      <c r="M45" t="s">
        <v>1103</v>
      </c>
    </row>
    <row r="46" spans="3:13" x14ac:dyDescent="0.25">
      <c r="C46" t="s">
        <v>1593</v>
      </c>
      <c r="J46" t="s">
        <v>1594</v>
      </c>
      <c r="K46" t="s">
        <v>1595</v>
      </c>
      <c r="L46" t="s">
        <v>1527</v>
      </c>
      <c r="M46" t="s">
        <v>1103</v>
      </c>
    </row>
    <row r="47" spans="3:13" x14ac:dyDescent="0.25">
      <c r="C47" t="s">
        <v>1596</v>
      </c>
      <c r="J47" t="s">
        <v>1597</v>
      </c>
      <c r="K47" t="s">
        <v>1588</v>
      </c>
      <c r="L47" t="s">
        <v>1527</v>
      </c>
      <c r="M47" t="s">
        <v>1103</v>
      </c>
    </row>
    <row r="48" spans="3:13" x14ac:dyDescent="0.25">
      <c r="J48" t="s">
        <v>1598</v>
      </c>
      <c r="K48" t="s">
        <v>1588</v>
      </c>
      <c r="L48" t="s">
        <v>1533</v>
      </c>
      <c r="M48" t="s">
        <v>1103</v>
      </c>
    </row>
    <row r="49" spans="10:13" x14ac:dyDescent="0.25">
      <c r="J49" t="s">
        <v>1599</v>
      </c>
      <c r="K49" t="s">
        <v>1588</v>
      </c>
      <c r="L49" t="s">
        <v>1547</v>
      </c>
      <c r="M49" t="s">
        <v>1103</v>
      </c>
    </row>
    <row r="50" spans="10:13" x14ac:dyDescent="0.25">
      <c r="J50" t="s">
        <v>1600</v>
      </c>
      <c r="K50" t="s">
        <v>1588</v>
      </c>
      <c r="L50" t="s">
        <v>1575</v>
      </c>
      <c r="M50" t="s">
        <v>1527</v>
      </c>
    </row>
    <row r="51" spans="10:13" x14ac:dyDescent="0.25">
      <c r="J51" t="s">
        <v>19</v>
      </c>
      <c r="K51" t="s">
        <v>1588</v>
      </c>
      <c r="L51" t="s">
        <v>1561</v>
      </c>
      <c r="M51" t="s">
        <v>1533</v>
      </c>
    </row>
    <row r="52" spans="10:13" x14ac:dyDescent="0.25">
      <c r="J52" t="s">
        <v>1601</v>
      </c>
      <c r="K52" t="s">
        <v>1588</v>
      </c>
      <c r="L52" t="s">
        <v>1602</v>
      </c>
      <c r="M52" t="s">
        <v>1547</v>
      </c>
    </row>
    <row r="53" spans="10:13" x14ac:dyDescent="0.25">
      <c r="J53" t="s">
        <v>1603</v>
      </c>
      <c r="K53" t="s">
        <v>1604</v>
      </c>
      <c r="L53" t="s">
        <v>1533</v>
      </c>
      <c r="M53" t="s">
        <v>1103</v>
      </c>
    </row>
    <row r="54" spans="10:13" x14ac:dyDescent="0.25">
      <c r="J54" t="s">
        <v>1605</v>
      </c>
      <c r="K54" t="s">
        <v>1606</v>
      </c>
      <c r="L54" t="s">
        <v>1527</v>
      </c>
      <c r="M54" t="s">
        <v>1103</v>
      </c>
    </row>
    <row r="55" spans="10:13" x14ac:dyDescent="0.25">
      <c r="J55" t="s">
        <v>1607</v>
      </c>
      <c r="K55" t="s">
        <v>1608</v>
      </c>
      <c r="L55" t="s">
        <v>1561</v>
      </c>
      <c r="M55" t="s">
        <v>1533</v>
      </c>
    </row>
    <row r="56" spans="10:13" x14ac:dyDescent="0.25">
      <c r="J56" t="s">
        <v>1609</v>
      </c>
      <c r="K56" t="s">
        <v>1608</v>
      </c>
      <c r="L56" t="s">
        <v>1533</v>
      </c>
      <c r="M56" t="s">
        <v>1103</v>
      </c>
    </row>
    <row r="57" spans="10:13" x14ac:dyDescent="0.25">
      <c r="J57" t="s">
        <v>1610</v>
      </c>
      <c r="K57" t="s">
        <v>1608</v>
      </c>
      <c r="L57" t="s">
        <v>1527</v>
      </c>
      <c r="M57" t="s">
        <v>1103</v>
      </c>
    </row>
    <row r="58" spans="10:13" x14ac:dyDescent="0.25">
      <c r="J58" t="s">
        <v>1611</v>
      </c>
      <c r="K58" t="s">
        <v>1612</v>
      </c>
      <c r="L58" t="s">
        <v>1533</v>
      </c>
      <c r="M58" t="s">
        <v>1103</v>
      </c>
    </row>
    <row r="59" spans="10:13" x14ac:dyDescent="0.25">
      <c r="J59" t="s">
        <v>1613</v>
      </c>
      <c r="K59" t="s">
        <v>1612</v>
      </c>
      <c r="L59" t="s">
        <v>1547</v>
      </c>
      <c r="M59" t="s">
        <v>1103</v>
      </c>
    </row>
    <row r="60" spans="10:13" x14ac:dyDescent="0.25">
      <c r="J60" t="s">
        <v>1614</v>
      </c>
      <c r="K60" t="s">
        <v>1612</v>
      </c>
      <c r="L60" t="s">
        <v>1615</v>
      </c>
      <c r="M60" t="s">
        <v>1547</v>
      </c>
    </row>
    <row r="61" spans="10:13" x14ac:dyDescent="0.25">
      <c r="J61" t="s">
        <v>1616</v>
      </c>
      <c r="K61" t="s">
        <v>1617</v>
      </c>
      <c r="L61" t="s">
        <v>1618</v>
      </c>
      <c r="M61" t="s">
        <v>1103</v>
      </c>
    </row>
    <row r="62" spans="10:13" x14ac:dyDescent="0.25">
      <c r="J62" t="s">
        <v>1619</v>
      </c>
      <c r="K62" t="s">
        <v>1620</v>
      </c>
      <c r="L62" t="s">
        <v>1103</v>
      </c>
      <c r="M62" t="s">
        <v>1103</v>
      </c>
    </row>
    <row r="63" spans="10:13" x14ac:dyDescent="0.25">
      <c r="J63" t="s">
        <v>1621</v>
      </c>
      <c r="K63" t="s">
        <v>1612</v>
      </c>
      <c r="L63" t="s">
        <v>1622</v>
      </c>
      <c r="M63" t="s">
        <v>1103</v>
      </c>
    </row>
    <row r="64" spans="10:13" x14ac:dyDescent="0.25">
      <c r="J64" t="s">
        <v>1623</v>
      </c>
      <c r="K64" t="s">
        <v>1612</v>
      </c>
      <c r="L64" t="s">
        <v>1624</v>
      </c>
      <c r="M64" t="s">
        <v>1625</v>
      </c>
    </row>
    <row r="65" spans="10:13" x14ac:dyDescent="0.25">
      <c r="J65" t="s">
        <v>1626</v>
      </c>
      <c r="K65" t="s">
        <v>1627</v>
      </c>
      <c r="L65" t="s">
        <v>1615</v>
      </c>
      <c r="M65" t="s">
        <v>1547</v>
      </c>
    </row>
    <row r="66" spans="10:13" x14ac:dyDescent="0.25">
      <c r="J66" t="s">
        <v>1628</v>
      </c>
      <c r="K66" t="s">
        <v>1629</v>
      </c>
      <c r="L66" t="s">
        <v>1589</v>
      </c>
      <c r="M66" t="s">
        <v>1103</v>
      </c>
    </row>
    <row r="67" spans="10:13" x14ac:dyDescent="0.25">
      <c r="J67" t="s">
        <v>1324</v>
      </c>
      <c r="K67" t="s">
        <v>1630</v>
      </c>
      <c r="L67" t="s">
        <v>1527</v>
      </c>
      <c r="M67" t="s">
        <v>1103</v>
      </c>
    </row>
    <row r="68" spans="10:13" x14ac:dyDescent="0.25">
      <c r="J68" t="s">
        <v>1631</v>
      </c>
      <c r="K68" t="s">
        <v>1629</v>
      </c>
      <c r="L68" t="s">
        <v>1527</v>
      </c>
      <c r="M68" t="s">
        <v>1103</v>
      </c>
    </row>
    <row r="69" spans="10:13" x14ac:dyDescent="0.25">
      <c r="J69" t="s">
        <v>1632</v>
      </c>
      <c r="K69" t="s">
        <v>1629</v>
      </c>
      <c r="L69" t="s">
        <v>1533</v>
      </c>
      <c r="M69" t="s">
        <v>1103</v>
      </c>
    </row>
    <row r="70" spans="10:13" x14ac:dyDescent="0.25">
      <c r="J70" t="s">
        <v>83</v>
      </c>
      <c r="K70" t="s">
        <v>1629</v>
      </c>
      <c r="L70" t="s">
        <v>1633</v>
      </c>
      <c r="M70" t="s">
        <v>1533</v>
      </c>
    </row>
    <row r="71" spans="10:13" x14ac:dyDescent="0.25">
      <c r="J71" t="s">
        <v>1634</v>
      </c>
      <c r="K71" t="s">
        <v>1630</v>
      </c>
      <c r="L71" t="s">
        <v>1547</v>
      </c>
      <c r="M71" t="s">
        <v>1103</v>
      </c>
    </row>
    <row r="72" spans="10:13" x14ac:dyDescent="0.25">
      <c r="J72" t="s">
        <v>1635</v>
      </c>
      <c r="K72" t="s">
        <v>1629</v>
      </c>
      <c r="L72" t="s">
        <v>1561</v>
      </c>
      <c r="M72" t="s">
        <v>1533</v>
      </c>
    </row>
    <row r="73" spans="10:13" x14ac:dyDescent="0.25">
      <c r="J73" t="s">
        <v>1636</v>
      </c>
      <c r="K73" t="s">
        <v>1637</v>
      </c>
      <c r="L73" t="s">
        <v>1561</v>
      </c>
      <c r="M73" t="s">
        <v>1533</v>
      </c>
    </row>
    <row r="74" spans="10:13" x14ac:dyDescent="0.25">
      <c r="J74" t="s">
        <v>1638</v>
      </c>
      <c r="K74" t="s">
        <v>1639</v>
      </c>
      <c r="L74" t="s">
        <v>1640</v>
      </c>
      <c r="M74" t="s">
        <v>1533</v>
      </c>
    </row>
    <row r="75" spans="10:13" x14ac:dyDescent="0.25">
      <c r="J75" t="s">
        <v>1641</v>
      </c>
      <c r="K75" t="s">
        <v>1629</v>
      </c>
      <c r="L75" t="s">
        <v>1642</v>
      </c>
      <c r="M75" t="s">
        <v>1533</v>
      </c>
    </row>
    <row r="76" spans="10:13" x14ac:dyDescent="0.25">
      <c r="J76" t="s">
        <v>1643</v>
      </c>
      <c r="K76" t="s">
        <v>1644</v>
      </c>
      <c r="L76" t="s">
        <v>1645</v>
      </c>
      <c r="M76" t="s">
        <v>1533</v>
      </c>
    </row>
    <row r="77" spans="10:13" x14ac:dyDescent="0.25">
      <c r="J77" t="s">
        <v>1646</v>
      </c>
      <c r="K77" t="s">
        <v>1647</v>
      </c>
      <c r="L77" t="s">
        <v>1648</v>
      </c>
      <c r="M77" t="s">
        <v>1547</v>
      </c>
    </row>
    <row r="78" spans="10:13" x14ac:dyDescent="0.25">
      <c r="J78" t="s">
        <v>1649</v>
      </c>
      <c r="K78" t="s">
        <v>1650</v>
      </c>
      <c r="L78" t="s">
        <v>1651</v>
      </c>
      <c r="M78" t="s">
        <v>1547</v>
      </c>
    </row>
    <row r="79" spans="10:13" x14ac:dyDescent="0.25">
      <c r="J79" t="s">
        <v>1652</v>
      </c>
      <c r="K79" t="s">
        <v>1653</v>
      </c>
      <c r="L79" t="s">
        <v>1533</v>
      </c>
      <c r="M79" t="s">
        <v>1103</v>
      </c>
    </row>
    <row r="80" spans="10:13" x14ac:dyDescent="0.25">
      <c r="J80" t="s">
        <v>1654</v>
      </c>
      <c r="K80" t="s">
        <v>1655</v>
      </c>
      <c r="L80" t="s">
        <v>1648</v>
      </c>
      <c r="M80" t="s">
        <v>1547</v>
      </c>
    </row>
    <row r="81" spans="10:13" x14ac:dyDescent="0.25">
      <c r="J81" t="s">
        <v>1656</v>
      </c>
      <c r="K81" t="s">
        <v>1653</v>
      </c>
      <c r="L81" t="s">
        <v>1615</v>
      </c>
      <c r="M81" t="s">
        <v>1547</v>
      </c>
    </row>
    <row r="82" spans="10:13" x14ac:dyDescent="0.25">
      <c r="J82" t="s">
        <v>1657</v>
      </c>
      <c r="K82" t="s">
        <v>1658</v>
      </c>
      <c r="L82" t="s">
        <v>1612</v>
      </c>
      <c r="M82" t="s">
        <v>1533</v>
      </c>
    </row>
    <row r="83" spans="10:13" x14ac:dyDescent="0.25">
      <c r="J83" t="s">
        <v>1659</v>
      </c>
      <c r="K83" t="s">
        <v>1629</v>
      </c>
      <c r="L83" t="s">
        <v>1640</v>
      </c>
      <c r="M83" t="s">
        <v>1533</v>
      </c>
    </row>
    <row r="84" spans="10:13" x14ac:dyDescent="0.25">
      <c r="J84" t="s">
        <v>1660</v>
      </c>
      <c r="K84" t="s">
        <v>1661</v>
      </c>
      <c r="L84" t="s">
        <v>1633</v>
      </c>
      <c r="M84" t="s">
        <v>1533</v>
      </c>
    </row>
    <row r="85" spans="10:13" x14ac:dyDescent="0.25">
      <c r="J85" t="s">
        <v>1662</v>
      </c>
      <c r="K85" t="s">
        <v>1663</v>
      </c>
      <c r="L85" t="s">
        <v>1547</v>
      </c>
      <c r="M85" t="s">
        <v>1103</v>
      </c>
    </row>
    <row r="86" spans="10:13" x14ac:dyDescent="0.25">
      <c r="J86" t="s">
        <v>1664</v>
      </c>
      <c r="K86" t="s">
        <v>1665</v>
      </c>
      <c r="L86" t="s">
        <v>1527</v>
      </c>
      <c r="M86" t="s">
        <v>1103</v>
      </c>
    </row>
    <row r="87" spans="10:13" x14ac:dyDescent="0.25">
      <c r="J87" t="s">
        <v>1666</v>
      </c>
      <c r="K87" t="s">
        <v>1667</v>
      </c>
      <c r="L87" t="s">
        <v>1561</v>
      </c>
      <c r="M87" t="s">
        <v>1533</v>
      </c>
    </row>
    <row r="88" spans="10:13" x14ac:dyDescent="0.25">
      <c r="J88" t="s">
        <v>1668</v>
      </c>
      <c r="K88" t="s">
        <v>1665</v>
      </c>
      <c r="L88" t="s">
        <v>1561</v>
      </c>
      <c r="M88" t="s">
        <v>1533</v>
      </c>
    </row>
    <row r="89" spans="10:13" x14ac:dyDescent="0.25">
      <c r="J89" t="s">
        <v>1669</v>
      </c>
      <c r="K89" t="s">
        <v>1670</v>
      </c>
      <c r="L89" t="s">
        <v>1588</v>
      </c>
      <c r="M89" t="s">
        <v>1533</v>
      </c>
    </row>
    <row r="90" spans="10:13" x14ac:dyDescent="0.25">
      <c r="J90" t="s">
        <v>1671</v>
      </c>
      <c r="K90" t="s">
        <v>1672</v>
      </c>
      <c r="L90" t="s">
        <v>1615</v>
      </c>
      <c r="M90" t="s">
        <v>1547</v>
      </c>
    </row>
    <row r="91" spans="10:13" x14ac:dyDescent="0.25">
      <c r="J91" t="s">
        <v>1673</v>
      </c>
      <c r="K91" t="s">
        <v>1672</v>
      </c>
      <c r="L91" t="s">
        <v>1648</v>
      </c>
      <c r="M91" t="s">
        <v>1547</v>
      </c>
    </row>
    <row r="92" spans="10:13" x14ac:dyDescent="0.25">
      <c r="J92" t="s">
        <v>1674</v>
      </c>
      <c r="K92" t="s">
        <v>1675</v>
      </c>
      <c r="L92" t="s">
        <v>1541</v>
      </c>
      <c r="M92" t="s">
        <v>1103</v>
      </c>
    </row>
    <row r="93" spans="10:13" x14ac:dyDescent="0.25">
      <c r="J93" t="s">
        <v>1676</v>
      </c>
      <c r="K93" t="s">
        <v>1677</v>
      </c>
      <c r="L93" t="s">
        <v>1527</v>
      </c>
      <c r="M93" t="s">
        <v>1103</v>
      </c>
    </row>
    <row r="94" spans="10:13" x14ac:dyDescent="0.25">
      <c r="J94" t="s">
        <v>1678</v>
      </c>
      <c r="K94" t="s">
        <v>1533</v>
      </c>
      <c r="L94" t="s">
        <v>1679</v>
      </c>
      <c r="M94" t="s">
        <v>1103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RowSources2961GY">
    <tabColor theme="6" tint="0.39997558519241921"/>
  </sheetPr>
  <dimension ref="A1:R94"/>
  <sheetViews>
    <sheetView workbookViewId="0">
      <selection activeCell="Q12" sqref="Q12"/>
    </sheetView>
  </sheetViews>
  <sheetFormatPr defaultColWidth="9.140625" defaultRowHeight="15" x14ac:dyDescent="0.25"/>
  <cols>
    <col min="1" max="1" width="22.28515625" bestFit="1" customWidth="1"/>
    <col min="2" max="2" width="22.5703125" bestFit="1" customWidth="1"/>
    <col min="3" max="3" width="25" bestFit="1" customWidth="1"/>
    <col min="4" max="4" width="19.140625" bestFit="1" customWidth="1"/>
    <col min="5" max="5" width="22.28515625" bestFit="1" customWidth="1"/>
    <col min="6" max="6" width="24.85546875" bestFit="1" customWidth="1"/>
    <col min="7" max="7" width="26.42578125" bestFit="1" customWidth="1"/>
    <col min="8" max="8" width="38.7109375" bestFit="1" customWidth="1"/>
    <col min="9" max="9" width="26.42578125" bestFit="1" customWidth="1"/>
    <col min="10" max="10" width="7.5703125" bestFit="1" customWidth="1"/>
    <col min="11" max="11" width="34.140625" bestFit="1" customWidth="1"/>
    <col min="12" max="12" width="36.28515625" bestFit="1" customWidth="1"/>
    <col min="13" max="13" width="33" bestFit="1" customWidth="1"/>
    <col min="14" max="14" width="30.28515625" bestFit="1" customWidth="1"/>
    <col min="15" max="15" width="40.42578125" bestFit="1" customWidth="1"/>
    <col min="16" max="16" width="14.5703125" bestFit="1" customWidth="1"/>
    <col min="17" max="17" width="33" bestFit="1" customWidth="1"/>
    <col min="18" max="18" width="37.28515625" bestFit="1" customWidth="1"/>
  </cols>
  <sheetData>
    <row r="1" spans="1:18" x14ac:dyDescent="0.25">
      <c r="A1" s="43" t="s">
        <v>132</v>
      </c>
      <c r="B1" s="43" t="s">
        <v>133</v>
      </c>
      <c r="C1" s="43" t="s">
        <v>134</v>
      </c>
      <c r="D1" s="43" t="s">
        <v>139</v>
      </c>
      <c r="E1" s="43" t="s">
        <v>142</v>
      </c>
      <c r="F1" s="43" t="s">
        <v>141</v>
      </c>
      <c r="G1" s="43" t="s">
        <v>1893</v>
      </c>
      <c r="H1" s="43" t="s">
        <v>146</v>
      </c>
      <c r="I1" s="43" t="s">
        <v>1894</v>
      </c>
      <c r="J1" s="43" t="s">
        <v>1895</v>
      </c>
      <c r="K1" s="43" t="s">
        <v>1896</v>
      </c>
      <c r="L1" s="43" t="s">
        <v>1897</v>
      </c>
      <c r="M1" s="43" t="s">
        <v>1898</v>
      </c>
      <c r="N1" s="43" t="s">
        <v>1899</v>
      </c>
      <c r="O1" s="43" t="s">
        <v>1900</v>
      </c>
      <c r="P1" s="43" t="s">
        <v>1901</v>
      </c>
      <c r="Q1" s="43" t="s">
        <v>1902</v>
      </c>
      <c r="R1" s="43" t="s">
        <v>1903</v>
      </c>
    </row>
    <row r="2" spans="1:18" x14ac:dyDescent="0.25">
      <c r="A2" t="s">
        <v>1372</v>
      </c>
      <c r="B2" t="s">
        <v>1373</v>
      </c>
      <c r="C2" t="s">
        <v>1374</v>
      </c>
      <c r="D2" t="s">
        <v>1375</v>
      </c>
      <c r="E2" t="s">
        <v>1368</v>
      </c>
      <c r="F2" t="s">
        <v>31</v>
      </c>
      <c r="G2" t="s">
        <v>1377</v>
      </c>
      <c r="H2" t="s">
        <v>1378</v>
      </c>
      <c r="I2" t="s">
        <v>1379</v>
      </c>
      <c r="J2" t="s">
        <v>1380</v>
      </c>
      <c r="K2" t="s">
        <v>1381</v>
      </c>
      <c r="L2" t="s">
        <v>1103</v>
      </c>
      <c r="M2" t="s">
        <v>1103</v>
      </c>
      <c r="N2" t="s">
        <v>1371</v>
      </c>
      <c r="O2" t="s">
        <v>1382</v>
      </c>
      <c r="P2" t="s">
        <v>1383</v>
      </c>
      <c r="Q2" t="s">
        <v>1384</v>
      </c>
      <c r="R2" t="s">
        <v>1417</v>
      </c>
    </row>
    <row r="3" spans="1:18" x14ac:dyDescent="0.25">
      <c r="A3" t="s">
        <v>28</v>
      </c>
      <c r="B3" t="s">
        <v>1389</v>
      </c>
      <c r="C3" t="s">
        <v>1390</v>
      </c>
      <c r="D3" t="s">
        <v>1391</v>
      </c>
      <c r="E3" t="s">
        <v>1418</v>
      </c>
      <c r="F3" t="s">
        <v>1395</v>
      </c>
      <c r="G3" t="s">
        <v>1396</v>
      </c>
      <c r="H3" t="s">
        <v>1397</v>
      </c>
      <c r="I3" t="s">
        <v>78</v>
      </c>
      <c r="J3" t="s">
        <v>1398</v>
      </c>
      <c r="K3" t="s">
        <v>1399</v>
      </c>
      <c r="L3" t="s">
        <v>1103</v>
      </c>
      <c r="M3" t="s">
        <v>1103</v>
      </c>
      <c r="N3" t="s">
        <v>22</v>
      </c>
      <c r="O3" t="s">
        <v>1400</v>
      </c>
      <c r="R3" t="s">
        <v>1431</v>
      </c>
    </row>
    <row r="4" spans="1:18" x14ac:dyDescent="0.25">
      <c r="A4" t="s">
        <v>10</v>
      </c>
      <c r="C4" t="s">
        <v>1408</v>
      </c>
      <c r="D4" t="s">
        <v>1409</v>
      </c>
      <c r="F4" t="s">
        <v>16</v>
      </c>
      <c r="H4" t="s">
        <v>1412</v>
      </c>
      <c r="I4" t="s">
        <v>1413</v>
      </c>
      <c r="J4" t="s">
        <v>1414</v>
      </c>
      <c r="K4" t="s">
        <v>1415</v>
      </c>
      <c r="L4" t="s">
        <v>1103</v>
      </c>
      <c r="M4" t="s">
        <v>1103</v>
      </c>
      <c r="N4" t="s">
        <v>35</v>
      </c>
      <c r="O4" t="s">
        <v>1416</v>
      </c>
    </row>
    <row r="5" spans="1:18" x14ac:dyDescent="0.25">
      <c r="A5" t="s">
        <v>1420</v>
      </c>
      <c r="C5" t="s">
        <v>12</v>
      </c>
      <c r="D5" t="s">
        <v>1421</v>
      </c>
      <c r="F5" t="s">
        <v>1425</v>
      </c>
      <c r="H5" t="s">
        <v>1426</v>
      </c>
      <c r="I5" t="s">
        <v>59</v>
      </c>
      <c r="J5" t="s">
        <v>1427</v>
      </c>
      <c r="K5" t="s">
        <v>1428</v>
      </c>
      <c r="L5" t="s">
        <v>1429</v>
      </c>
      <c r="M5" t="s">
        <v>1103</v>
      </c>
      <c r="O5" t="s">
        <v>1430</v>
      </c>
    </row>
    <row r="6" spans="1:18" x14ac:dyDescent="0.25">
      <c r="C6" t="s">
        <v>81</v>
      </c>
      <c r="D6" t="s">
        <v>1434</v>
      </c>
      <c r="F6" t="s">
        <v>1438</v>
      </c>
      <c r="H6" t="s">
        <v>1396</v>
      </c>
      <c r="J6" t="s">
        <v>1439</v>
      </c>
      <c r="K6" t="s">
        <v>1440</v>
      </c>
      <c r="L6" t="s">
        <v>1441</v>
      </c>
      <c r="M6" t="s">
        <v>1103</v>
      </c>
      <c r="O6" t="s">
        <v>1442</v>
      </c>
    </row>
    <row r="7" spans="1:18" x14ac:dyDescent="0.25">
      <c r="C7" t="s">
        <v>1445</v>
      </c>
      <c r="F7" t="s">
        <v>1448</v>
      </c>
      <c r="H7" t="s">
        <v>1449</v>
      </c>
      <c r="J7" t="s">
        <v>1450</v>
      </c>
      <c r="K7" t="s">
        <v>1451</v>
      </c>
      <c r="L7" t="s">
        <v>1452</v>
      </c>
      <c r="M7" t="s">
        <v>1103</v>
      </c>
      <c r="O7" t="s">
        <v>1453</v>
      </c>
    </row>
    <row r="8" spans="1:18" x14ac:dyDescent="0.25">
      <c r="F8" t="s">
        <v>58</v>
      </c>
      <c r="J8" t="s">
        <v>1458</v>
      </c>
      <c r="K8" t="s">
        <v>1459</v>
      </c>
      <c r="L8" t="s">
        <v>1441</v>
      </c>
      <c r="M8" t="s">
        <v>1103</v>
      </c>
      <c r="O8" t="s">
        <v>1460</v>
      </c>
    </row>
    <row r="9" spans="1:18" x14ac:dyDescent="0.25">
      <c r="F9" t="s">
        <v>1461</v>
      </c>
      <c r="J9" t="s">
        <v>1462</v>
      </c>
      <c r="K9" t="s">
        <v>1463</v>
      </c>
      <c r="L9" t="s">
        <v>1429</v>
      </c>
      <c r="M9" t="s">
        <v>1103</v>
      </c>
      <c r="O9" t="s">
        <v>1464</v>
      </c>
    </row>
    <row r="10" spans="1:18" x14ac:dyDescent="0.25">
      <c r="F10" t="s">
        <v>1467</v>
      </c>
      <c r="J10" t="s">
        <v>33</v>
      </c>
      <c r="K10" t="s">
        <v>1468</v>
      </c>
      <c r="L10" t="s">
        <v>1103</v>
      </c>
      <c r="M10" t="s">
        <v>1103</v>
      </c>
      <c r="O10" t="s">
        <v>1469</v>
      </c>
    </row>
    <row r="11" spans="1:18" x14ac:dyDescent="0.25">
      <c r="F11" t="s">
        <v>77</v>
      </c>
      <c r="J11" t="s">
        <v>1471</v>
      </c>
      <c r="K11" t="s">
        <v>1472</v>
      </c>
      <c r="L11" t="s">
        <v>1103</v>
      </c>
      <c r="M11" t="s">
        <v>1103</v>
      </c>
      <c r="O11" t="s">
        <v>1473</v>
      </c>
    </row>
    <row r="12" spans="1:18" x14ac:dyDescent="0.25">
      <c r="J12" t="s">
        <v>63</v>
      </c>
      <c r="K12" t="s">
        <v>1477</v>
      </c>
      <c r="L12" t="s">
        <v>1103</v>
      </c>
      <c r="M12" t="s">
        <v>1103</v>
      </c>
      <c r="O12" t="s">
        <v>1478</v>
      </c>
    </row>
    <row r="13" spans="1:18" x14ac:dyDescent="0.25">
      <c r="J13" t="s">
        <v>1482</v>
      </c>
      <c r="K13" t="s">
        <v>1483</v>
      </c>
      <c r="L13" t="s">
        <v>1103</v>
      </c>
      <c r="M13" t="s">
        <v>1103</v>
      </c>
      <c r="O13" t="s">
        <v>1163</v>
      </c>
    </row>
    <row r="14" spans="1:18" x14ac:dyDescent="0.25">
      <c r="J14" t="s">
        <v>1488</v>
      </c>
      <c r="K14" t="s">
        <v>1489</v>
      </c>
      <c r="L14" t="s">
        <v>1103</v>
      </c>
      <c r="M14" t="s">
        <v>1103</v>
      </c>
      <c r="O14" t="s">
        <v>1490</v>
      </c>
    </row>
    <row r="15" spans="1:18" x14ac:dyDescent="0.25">
      <c r="J15" t="s">
        <v>1330</v>
      </c>
      <c r="K15" t="s">
        <v>1494</v>
      </c>
      <c r="L15" t="s">
        <v>1103</v>
      </c>
      <c r="M15" t="s">
        <v>1103</v>
      </c>
      <c r="O15" t="s">
        <v>1495</v>
      </c>
    </row>
    <row r="16" spans="1:18" x14ac:dyDescent="0.25">
      <c r="J16" t="s">
        <v>1499</v>
      </c>
      <c r="K16" t="s">
        <v>1500</v>
      </c>
      <c r="L16" t="s">
        <v>1103</v>
      </c>
      <c r="M16" t="s">
        <v>1103</v>
      </c>
      <c r="O16" t="s">
        <v>1501</v>
      </c>
    </row>
    <row r="17" spans="10:15" x14ac:dyDescent="0.25">
      <c r="J17" t="s">
        <v>1339</v>
      </c>
      <c r="K17" t="s">
        <v>1505</v>
      </c>
      <c r="L17" t="s">
        <v>1103</v>
      </c>
      <c r="M17" t="s">
        <v>1103</v>
      </c>
      <c r="O17" t="s">
        <v>1506</v>
      </c>
    </row>
    <row r="18" spans="10:15" x14ac:dyDescent="0.25">
      <c r="J18" t="s">
        <v>1510</v>
      </c>
      <c r="K18" t="s">
        <v>1511</v>
      </c>
      <c r="L18" t="s">
        <v>1103</v>
      </c>
      <c r="M18" t="s">
        <v>1103</v>
      </c>
    </row>
    <row r="19" spans="10:15" x14ac:dyDescent="0.25">
      <c r="J19" t="s">
        <v>1343</v>
      </c>
      <c r="K19" t="s">
        <v>1514</v>
      </c>
      <c r="L19" t="s">
        <v>1103</v>
      </c>
      <c r="M19" t="s">
        <v>1103</v>
      </c>
    </row>
    <row r="20" spans="10:15" x14ac:dyDescent="0.25">
      <c r="J20" t="s">
        <v>1518</v>
      </c>
      <c r="K20" t="s">
        <v>1519</v>
      </c>
      <c r="L20" t="s">
        <v>1103</v>
      </c>
      <c r="M20" t="s">
        <v>1103</v>
      </c>
    </row>
    <row r="21" spans="10:15" x14ac:dyDescent="0.25">
      <c r="J21" t="s">
        <v>1522</v>
      </c>
      <c r="K21" t="s">
        <v>1523</v>
      </c>
      <c r="L21" t="s">
        <v>1103</v>
      </c>
      <c r="M21" t="s">
        <v>1103</v>
      </c>
    </row>
    <row r="22" spans="10:15" x14ac:dyDescent="0.25">
      <c r="J22" t="s">
        <v>50</v>
      </c>
      <c r="K22" t="s">
        <v>1527</v>
      </c>
      <c r="L22" t="s">
        <v>1103</v>
      </c>
      <c r="M22" t="s">
        <v>1103</v>
      </c>
    </row>
    <row r="23" spans="10:15" x14ac:dyDescent="0.25">
      <c r="J23" t="s">
        <v>66</v>
      </c>
      <c r="K23" t="s">
        <v>1530</v>
      </c>
      <c r="L23" t="s">
        <v>1103</v>
      </c>
      <c r="M23" t="s">
        <v>1103</v>
      </c>
    </row>
    <row r="24" spans="10:15" x14ac:dyDescent="0.25">
      <c r="J24" t="s">
        <v>1352</v>
      </c>
      <c r="K24" t="s">
        <v>1533</v>
      </c>
      <c r="L24" t="s">
        <v>1103</v>
      </c>
      <c r="M24" t="s">
        <v>1103</v>
      </c>
    </row>
    <row r="25" spans="10:15" x14ac:dyDescent="0.25">
      <c r="J25" t="s">
        <v>1536</v>
      </c>
      <c r="K25" t="s">
        <v>1537</v>
      </c>
      <c r="L25" t="s">
        <v>1103</v>
      </c>
      <c r="M25" t="s">
        <v>1103</v>
      </c>
    </row>
    <row r="26" spans="10:15" x14ac:dyDescent="0.25">
      <c r="J26" t="s">
        <v>1540</v>
      </c>
      <c r="K26" t="s">
        <v>1541</v>
      </c>
      <c r="L26" t="s">
        <v>1103</v>
      </c>
      <c r="M26" t="s">
        <v>1103</v>
      </c>
    </row>
    <row r="27" spans="10:15" x14ac:dyDescent="0.25">
      <c r="J27" t="s">
        <v>1355</v>
      </c>
      <c r="K27" t="s">
        <v>1544</v>
      </c>
      <c r="L27" t="s">
        <v>1103</v>
      </c>
      <c r="M27" t="s">
        <v>1103</v>
      </c>
    </row>
    <row r="28" spans="10:15" x14ac:dyDescent="0.25">
      <c r="J28" t="s">
        <v>1358</v>
      </c>
      <c r="K28" t="s">
        <v>1547</v>
      </c>
      <c r="L28" t="s">
        <v>1103</v>
      </c>
      <c r="M28" t="s">
        <v>1103</v>
      </c>
    </row>
    <row r="29" spans="10:15" x14ac:dyDescent="0.25">
      <c r="J29" t="s">
        <v>1361</v>
      </c>
      <c r="K29" t="s">
        <v>1549</v>
      </c>
      <c r="L29" t="s">
        <v>1103</v>
      </c>
      <c r="M29" t="s">
        <v>1103</v>
      </c>
    </row>
    <row r="30" spans="10:15" x14ac:dyDescent="0.25">
      <c r="J30" t="s">
        <v>1551</v>
      </c>
      <c r="K30" t="s">
        <v>1552</v>
      </c>
      <c r="L30" t="s">
        <v>1103</v>
      </c>
      <c r="M30" t="s">
        <v>1103</v>
      </c>
    </row>
    <row r="31" spans="10:15" x14ac:dyDescent="0.25">
      <c r="J31" t="s">
        <v>1553</v>
      </c>
      <c r="K31" t="s">
        <v>1554</v>
      </c>
      <c r="L31" t="s">
        <v>1103</v>
      </c>
      <c r="M31" t="s">
        <v>1103</v>
      </c>
    </row>
    <row r="32" spans="10:15" x14ac:dyDescent="0.25">
      <c r="J32" t="s">
        <v>1555</v>
      </c>
      <c r="K32" t="s">
        <v>1556</v>
      </c>
      <c r="L32" t="s">
        <v>1527</v>
      </c>
      <c r="M32" t="s">
        <v>1103</v>
      </c>
    </row>
    <row r="33" spans="10:13" x14ac:dyDescent="0.25">
      <c r="J33" t="s">
        <v>1557</v>
      </c>
      <c r="K33" t="s">
        <v>1558</v>
      </c>
      <c r="L33" t="s">
        <v>1527</v>
      </c>
      <c r="M33" t="s">
        <v>1103</v>
      </c>
    </row>
    <row r="34" spans="10:13" x14ac:dyDescent="0.25">
      <c r="J34" t="s">
        <v>1560</v>
      </c>
      <c r="K34" t="s">
        <v>1561</v>
      </c>
      <c r="L34" t="s">
        <v>1562</v>
      </c>
      <c r="M34" t="s">
        <v>1103</v>
      </c>
    </row>
    <row r="35" spans="10:13" x14ac:dyDescent="0.25">
      <c r="J35" t="s">
        <v>1564</v>
      </c>
      <c r="K35" t="s">
        <v>1565</v>
      </c>
      <c r="L35" t="s">
        <v>1527</v>
      </c>
      <c r="M35" t="s">
        <v>1103</v>
      </c>
    </row>
    <row r="36" spans="10:13" x14ac:dyDescent="0.25">
      <c r="J36" t="s">
        <v>1566</v>
      </c>
      <c r="K36" t="s">
        <v>1567</v>
      </c>
      <c r="L36" t="s">
        <v>1568</v>
      </c>
      <c r="M36" t="s">
        <v>1533</v>
      </c>
    </row>
    <row r="37" spans="10:13" x14ac:dyDescent="0.25">
      <c r="J37" t="s">
        <v>1570</v>
      </c>
      <c r="K37" t="s">
        <v>1567</v>
      </c>
      <c r="L37" t="s">
        <v>1527</v>
      </c>
      <c r="M37" t="s">
        <v>1103</v>
      </c>
    </row>
    <row r="38" spans="10:13" x14ac:dyDescent="0.25">
      <c r="J38" t="s">
        <v>1572</v>
      </c>
      <c r="K38" t="s">
        <v>1567</v>
      </c>
      <c r="L38" t="s">
        <v>1533</v>
      </c>
      <c r="M38" t="s">
        <v>1103</v>
      </c>
    </row>
    <row r="39" spans="10:13" x14ac:dyDescent="0.25">
      <c r="J39" t="s">
        <v>1574</v>
      </c>
      <c r="K39" t="s">
        <v>1575</v>
      </c>
      <c r="L39" t="s">
        <v>1527</v>
      </c>
      <c r="M39" t="s">
        <v>1103</v>
      </c>
    </row>
    <row r="40" spans="10:13" x14ac:dyDescent="0.25">
      <c r="J40" t="s">
        <v>1577</v>
      </c>
      <c r="K40" t="s">
        <v>1578</v>
      </c>
      <c r="L40" t="s">
        <v>1527</v>
      </c>
      <c r="M40" t="s">
        <v>1103</v>
      </c>
    </row>
    <row r="41" spans="10:13" x14ac:dyDescent="0.25">
      <c r="J41" t="s">
        <v>1579</v>
      </c>
      <c r="K41" t="s">
        <v>1561</v>
      </c>
      <c r="L41" t="s">
        <v>1533</v>
      </c>
      <c r="M41" t="s">
        <v>1103</v>
      </c>
    </row>
    <row r="42" spans="10:13" x14ac:dyDescent="0.25">
      <c r="J42" t="s">
        <v>1581</v>
      </c>
      <c r="K42" t="s">
        <v>1561</v>
      </c>
      <c r="L42" t="s">
        <v>1547</v>
      </c>
      <c r="M42" t="s">
        <v>1103</v>
      </c>
    </row>
    <row r="43" spans="10:13" x14ac:dyDescent="0.25">
      <c r="J43" t="s">
        <v>1583</v>
      </c>
      <c r="K43" t="s">
        <v>1584</v>
      </c>
      <c r="L43" t="s">
        <v>1585</v>
      </c>
      <c r="M43" t="s">
        <v>1103</v>
      </c>
    </row>
    <row r="44" spans="10:13" x14ac:dyDescent="0.25">
      <c r="J44" t="s">
        <v>1587</v>
      </c>
      <c r="K44" t="s">
        <v>1588</v>
      </c>
      <c r="L44" t="s">
        <v>1589</v>
      </c>
      <c r="M44" t="s">
        <v>1103</v>
      </c>
    </row>
    <row r="45" spans="10:13" x14ac:dyDescent="0.25">
      <c r="J45" t="s">
        <v>1591</v>
      </c>
      <c r="K45" t="s">
        <v>1592</v>
      </c>
      <c r="L45" t="s">
        <v>1527</v>
      </c>
      <c r="M45" t="s">
        <v>1103</v>
      </c>
    </row>
    <row r="46" spans="10:13" x14ac:dyDescent="0.25">
      <c r="J46" t="s">
        <v>1594</v>
      </c>
      <c r="K46" t="s">
        <v>1595</v>
      </c>
      <c r="L46" t="s">
        <v>1527</v>
      </c>
      <c r="M46" t="s">
        <v>1103</v>
      </c>
    </row>
    <row r="47" spans="10:13" x14ac:dyDescent="0.25">
      <c r="J47" t="s">
        <v>1597</v>
      </c>
      <c r="K47" t="s">
        <v>1588</v>
      </c>
      <c r="L47" t="s">
        <v>1527</v>
      </c>
      <c r="M47" t="s">
        <v>1103</v>
      </c>
    </row>
    <row r="48" spans="10:13" x14ac:dyDescent="0.25">
      <c r="J48" t="s">
        <v>1598</v>
      </c>
      <c r="K48" t="s">
        <v>1588</v>
      </c>
      <c r="L48" t="s">
        <v>1533</v>
      </c>
      <c r="M48" t="s">
        <v>1103</v>
      </c>
    </row>
    <row r="49" spans="10:13" x14ac:dyDescent="0.25">
      <c r="J49" t="s">
        <v>1599</v>
      </c>
      <c r="K49" t="s">
        <v>1588</v>
      </c>
      <c r="L49" t="s">
        <v>1547</v>
      </c>
      <c r="M49" t="s">
        <v>1103</v>
      </c>
    </row>
    <row r="50" spans="10:13" x14ac:dyDescent="0.25">
      <c r="J50" t="s">
        <v>1600</v>
      </c>
      <c r="K50" t="s">
        <v>1588</v>
      </c>
      <c r="L50" t="s">
        <v>1575</v>
      </c>
      <c r="M50" t="s">
        <v>1527</v>
      </c>
    </row>
    <row r="51" spans="10:13" x14ac:dyDescent="0.25">
      <c r="J51" t="s">
        <v>19</v>
      </c>
      <c r="K51" t="s">
        <v>1588</v>
      </c>
      <c r="L51" t="s">
        <v>1561</v>
      </c>
      <c r="M51" t="s">
        <v>1533</v>
      </c>
    </row>
    <row r="52" spans="10:13" x14ac:dyDescent="0.25">
      <c r="J52" t="s">
        <v>1601</v>
      </c>
      <c r="K52" t="s">
        <v>1588</v>
      </c>
      <c r="L52" t="s">
        <v>1602</v>
      </c>
      <c r="M52" t="s">
        <v>1547</v>
      </c>
    </row>
    <row r="53" spans="10:13" x14ac:dyDescent="0.25">
      <c r="J53" t="s">
        <v>1603</v>
      </c>
      <c r="K53" t="s">
        <v>1604</v>
      </c>
      <c r="L53" t="s">
        <v>1533</v>
      </c>
      <c r="M53" t="s">
        <v>1103</v>
      </c>
    </row>
    <row r="54" spans="10:13" x14ac:dyDescent="0.25">
      <c r="J54" t="s">
        <v>1605</v>
      </c>
      <c r="K54" t="s">
        <v>1606</v>
      </c>
      <c r="L54" t="s">
        <v>1527</v>
      </c>
      <c r="M54" t="s">
        <v>1103</v>
      </c>
    </row>
    <row r="55" spans="10:13" x14ac:dyDescent="0.25">
      <c r="J55" t="s">
        <v>1607</v>
      </c>
      <c r="K55" t="s">
        <v>1608</v>
      </c>
      <c r="L55" t="s">
        <v>1561</v>
      </c>
      <c r="M55" t="s">
        <v>1533</v>
      </c>
    </row>
    <row r="56" spans="10:13" x14ac:dyDescent="0.25">
      <c r="J56" t="s">
        <v>1609</v>
      </c>
      <c r="K56" t="s">
        <v>1608</v>
      </c>
      <c r="L56" t="s">
        <v>1533</v>
      </c>
      <c r="M56" t="s">
        <v>1103</v>
      </c>
    </row>
    <row r="57" spans="10:13" x14ac:dyDescent="0.25">
      <c r="J57" t="s">
        <v>1610</v>
      </c>
      <c r="K57" t="s">
        <v>1608</v>
      </c>
      <c r="L57" t="s">
        <v>1527</v>
      </c>
      <c r="M57" t="s">
        <v>1103</v>
      </c>
    </row>
    <row r="58" spans="10:13" x14ac:dyDescent="0.25">
      <c r="J58" t="s">
        <v>1611</v>
      </c>
      <c r="K58" t="s">
        <v>1612</v>
      </c>
      <c r="L58" t="s">
        <v>1533</v>
      </c>
      <c r="M58" t="s">
        <v>1103</v>
      </c>
    </row>
    <row r="59" spans="10:13" x14ac:dyDescent="0.25">
      <c r="J59" t="s">
        <v>1613</v>
      </c>
      <c r="K59" t="s">
        <v>1612</v>
      </c>
      <c r="L59" t="s">
        <v>1547</v>
      </c>
      <c r="M59" t="s">
        <v>1103</v>
      </c>
    </row>
    <row r="60" spans="10:13" x14ac:dyDescent="0.25">
      <c r="J60" t="s">
        <v>1614</v>
      </c>
      <c r="K60" t="s">
        <v>1612</v>
      </c>
      <c r="L60" t="s">
        <v>1615</v>
      </c>
      <c r="M60" t="s">
        <v>1547</v>
      </c>
    </row>
    <row r="61" spans="10:13" x14ac:dyDescent="0.25">
      <c r="J61" t="s">
        <v>1616</v>
      </c>
      <c r="K61" t="s">
        <v>1617</v>
      </c>
      <c r="L61" t="s">
        <v>1618</v>
      </c>
      <c r="M61" t="s">
        <v>1103</v>
      </c>
    </row>
    <row r="62" spans="10:13" x14ac:dyDescent="0.25">
      <c r="J62" t="s">
        <v>1619</v>
      </c>
      <c r="K62" t="s">
        <v>1620</v>
      </c>
      <c r="L62" t="s">
        <v>1103</v>
      </c>
      <c r="M62" t="s">
        <v>1103</v>
      </c>
    </row>
    <row r="63" spans="10:13" x14ac:dyDescent="0.25">
      <c r="J63" t="s">
        <v>1621</v>
      </c>
      <c r="K63" t="s">
        <v>1612</v>
      </c>
      <c r="L63" t="s">
        <v>1622</v>
      </c>
      <c r="M63" t="s">
        <v>1103</v>
      </c>
    </row>
    <row r="64" spans="10:13" x14ac:dyDescent="0.25">
      <c r="J64" t="s">
        <v>1623</v>
      </c>
      <c r="K64" t="s">
        <v>1612</v>
      </c>
      <c r="L64" t="s">
        <v>1624</v>
      </c>
      <c r="M64" t="s">
        <v>1625</v>
      </c>
    </row>
    <row r="65" spans="10:13" x14ac:dyDescent="0.25">
      <c r="J65" t="s">
        <v>1626</v>
      </c>
      <c r="K65" t="s">
        <v>1627</v>
      </c>
      <c r="L65" t="s">
        <v>1615</v>
      </c>
      <c r="M65" t="s">
        <v>1547</v>
      </c>
    </row>
    <row r="66" spans="10:13" x14ac:dyDescent="0.25">
      <c r="J66" t="s">
        <v>1628</v>
      </c>
      <c r="K66" t="s">
        <v>1629</v>
      </c>
      <c r="L66" t="s">
        <v>1589</v>
      </c>
      <c r="M66" t="s">
        <v>1103</v>
      </c>
    </row>
    <row r="67" spans="10:13" x14ac:dyDescent="0.25">
      <c r="J67" t="s">
        <v>1324</v>
      </c>
      <c r="K67" t="s">
        <v>1630</v>
      </c>
      <c r="L67" t="s">
        <v>1527</v>
      </c>
      <c r="M67" t="s">
        <v>1103</v>
      </c>
    </row>
    <row r="68" spans="10:13" x14ac:dyDescent="0.25">
      <c r="J68" t="s">
        <v>1631</v>
      </c>
      <c r="K68" t="s">
        <v>1629</v>
      </c>
      <c r="L68" t="s">
        <v>1527</v>
      </c>
      <c r="M68" t="s">
        <v>1103</v>
      </c>
    </row>
    <row r="69" spans="10:13" x14ac:dyDescent="0.25">
      <c r="J69" t="s">
        <v>1632</v>
      </c>
      <c r="K69" t="s">
        <v>1629</v>
      </c>
      <c r="L69" t="s">
        <v>1533</v>
      </c>
      <c r="M69" t="s">
        <v>1103</v>
      </c>
    </row>
    <row r="70" spans="10:13" x14ac:dyDescent="0.25">
      <c r="J70" t="s">
        <v>83</v>
      </c>
      <c r="K70" t="s">
        <v>1629</v>
      </c>
      <c r="L70" t="s">
        <v>1633</v>
      </c>
      <c r="M70" t="s">
        <v>1533</v>
      </c>
    </row>
    <row r="71" spans="10:13" x14ac:dyDescent="0.25">
      <c r="J71" t="s">
        <v>1634</v>
      </c>
      <c r="K71" t="s">
        <v>1630</v>
      </c>
      <c r="L71" t="s">
        <v>1547</v>
      </c>
      <c r="M71" t="s">
        <v>1103</v>
      </c>
    </row>
    <row r="72" spans="10:13" x14ac:dyDescent="0.25">
      <c r="J72" t="s">
        <v>1635</v>
      </c>
      <c r="K72" t="s">
        <v>1629</v>
      </c>
      <c r="L72" t="s">
        <v>1561</v>
      </c>
      <c r="M72" t="s">
        <v>1533</v>
      </c>
    </row>
    <row r="73" spans="10:13" x14ac:dyDescent="0.25">
      <c r="J73" t="s">
        <v>1636</v>
      </c>
      <c r="K73" t="s">
        <v>1637</v>
      </c>
      <c r="L73" t="s">
        <v>1561</v>
      </c>
      <c r="M73" t="s">
        <v>1533</v>
      </c>
    </row>
    <row r="74" spans="10:13" x14ac:dyDescent="0.25">
      <c r="J74" t="s">
        <v>1638</v>
      </c>
      <c r="K74" t="s">
        <v>1639</v>
      </c>
      <c r="L74" t="s">
        <v>1640</v>
      </c>
      <c r="M74" t="s">
        <v>1533</v>
      </c>
    </row>
    <row r="75" spans="10:13" x14ac:dyDescent="0.25">
      <c r="J75" t="s">
        <v>1641</v>
      </c>
      <c r="K75" t="s">
        <v>1629</v>
      </c>
      <c r="L75" t="s">
        <v>1642</v>
      </c>
      <c r="M75" t="s">
        <v>1533</v>
      </c>
    </row>
    <row r="76" spans="10:13" x14ac:dyDescent="0.25">
      <c r="J76" t="s">
        <v>1643</v>
      </c>
      <c r="K76" t="s">
        <v>1644</v>
      </c>
      <c r="L76" t="s">
        <v>1645</v>
      </c>
      <c r="M76" t="s">
        <v>1533</v>
      </c>
    </row>
    <row r="77" spans="10:13" x14ac:dyDescent="0.25">
      <c r="J77" t="s">
        <v>1646</v>
      </c>
      <c r="K77" t="s">
        <v>1647</v>
      </c>
      <c r="L77" t="s">
        <v>1648</v>
      </c>
      <c r="M77" t="s">
        <v>1547</v>
      </c>
    </row>
    <row r="78" spans="10:13" x14ac:dyDescent="0.25">
      <c r="J78" t="s">
        <v>1649</v>
      </c>
      <c r="K78" t="s">
        <v>1650</v>
      </c>
      <c r="L78" t="s">
        <v>1651</v>
      </c>
      <c r="M78" t="s">
        <v>1547</v>
      </c>
    </row>
    <row r="79" spans="10:13" x14ac:dyDescent="0.25">
      <c r="J79" t="s">
        <v>1652</v>
      </c>
      <c r="K79" t="s">
        <v>1653</v>
      </c>
      <c r="L79" t="s">
        <v>1533</v>
      </c>
      <c r="M79" t="s">
        <v>1103</v>
      </c>
    </row>
    <row r="80" spans="10:13" x14ac:dyDescent="0.25">
      <c r="J80" t="s">
        <v>1654</v>
      </c>
      <c r="K80" t="s">
        <v>1655</v>
      </c>
      <c r="L80" t="s">
        <v>1648</v>
      </c>
      <c r="M80" t="s">
        <v>1547</v>
      </c>
    </row>
    <row r="81" spans="10:13" x14ac:dyDescent="0.25">
      <c r="J81" t="s">
        <v>1656</v>
      </c>
      <c r="K81" t="s">
        <v>1653</v>
      </c>
      <c r="L81" t="s">
        <v>1615</v>
      </c>
      <c r="M81" t="s">
        <v>1547</v>
      </c>
    </row>
    <row r="82" spans="10:13" x14ac:dyDescent="0.25">
      <c r="J82" t="s">
        <v>1657</v>
      </c>
      <c r="K82" t="s">
        <v>1658</v>
      </c>
      <c r="L82" t="s">
        <v>1612</v>
      </c>
      <c r="M82" t="s">
        <v>1533</v>
      </c>
    </row>
    <row r="83" spans="10:13" x14ac:dyDescent="0.25">
      <c r="J83" t="s">
        <v>1659</v>
      </c>
      <c r="K83" t="s">
        <v>1629</v>
      </c>
      <c r="L83" t="s">
        <v>1640</v>
      </c>
      <c r="M83" t="s">
        <v>1533</v>
      </c>
    </row>
    <row r="84" spans="10:13" x14ac:dyDescent="0.25">
      <c r="J84" t="s">
        <v>1660</v>
      </c>
      <c r="K84" t="s">
        <v>1661</v>
      </c>
      <c r="L84" t="s">
        <v>1633</v>
      </c>
      <c r="M84" t="s">
        <v>1533</v>
      </c>
    </row>
    <row r="85" spans="10:13" x14ac:dyDescent="0.25">
      <c r="J85" t="s">
        <v>1662</v>
      </c>
      <c r="K85" t="s">
        <v>1663</v>
      </c>
      <c r="L85" t="s">
        <v>1547</v>
      </c>
      <c r="M85" t="s">
        <v>1103</v>
      </c>
    </row>
    <row r="86" spans="10:13" x14ac:dyDescent="0.25">
      <c r="J86" t="s">
        <v>1664</v>
      </c>
      <c r="K86" t="s">
        <v>1665</v>
      </c>
      <c r="L86" t="s">
        <v>1527</v>
      </c>
      <c r="M86" t="s">
        <v>1103</v>
      </c>
    </row>
    <row r="87" spans="10:13" x14ac:dyDescent="0.25">
      <c r="J87" t="s">
        <v>1666</v>
      </c>
      <c r="K87" t="s">
        <v>1667</v>
      </c>
      <c r="L87" t="s">
        <v>1561</v>
      </c>
      <c r="M87" t="s">
        <v>1533</v>
      </c>
    </row>
    <row r="88" spans="10:13" x14ac:dyDescent="0.25">
      <c r="J88" t="s">
        <v>1668</v>
      </c>
      <c r="K88" t="s">
        <v>1665</v>
      </c>
      <c r="L88" t="s">
        <v>1561</v>
      </c>
      <c r="M88" t="s">
        <v>1533</v>
      </c>
    </row>
    <row r="89" spans="10:13" x14ac:dyDescent="0.25">
      <c r="J89" t="s">
        <v>1669</v>
      </c>
      <c r="K89" t="s">
        <v>1670</v>
      </c>
      <c r="L89" t="s">
        <v>1588</v>
      </c>
      <c r="M89" t="s">
        <v>1533</v>
      </c>
    </row>
    <row r="90" spans="10:13" x14ac:dyDescent="0.25">
      <c r="J90" t="s">
        <v>1671</v>
      </c>
      <c r="K90" t="s">
        <v>1672</v>
      </c>
      <c r="L90" t="s">
        <v>1615</v>
      </c>
      <c r="M90" t="s">
        <v>1547</v>
      </c>
    </row>
    <row r="91" spans="10:13" x14ac:dyDescent="0.25">
      <c r="J91" t="s">
        <v>1673</v>
      </c>
      <c r="K91" t="s">
        <v>1672</v>
      </c>
      <c r="L91" t="s">
        <v>1648</v>
      </c>
      <c r="M91" t="s">
        <v>1547</v>
      </c>
    </row>
    <row r="92" spans="10:13" x14ac:dyDescent="0.25">
      <c r="J92" t="s">
        <v>1674</v>
      </c>
      <c r="K92" t="s">
        <v>1675</v>
      </c>
      <c r="L92" t="s">
        <v>1541</v>
      </c>
      <c r="M92" t="s">
        <v>1103</v>
      </c>
    </row>
    <row r="93" spans="10:13" x14ac:dyDescent="0.25">
      <c r="J93" t="s">
        <v>1676</v>
      </c>
      <c r="K93" t="s">
        <v>1677</v>
      </c>
      <c r="L93" t="s">
        <v>1527</v>
      </c>
      <c r="M93" t="s">
        <v>1103</v>
      </c>
    </row>
    <row r="94" spans="10:13" x14ac:dyDescent="0.25">
      <c r="J94" t="s">
        <v>1678</v>
      </c>
      <c r="K94" t="s">
        <v>1533</v>
      </c>
      <c r="L94" t="s">
        <v>1679</v>
      </c>
      <c r="M94" t="s">
        <v>1103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RowSources2961HD">
    <tabColor theme="6" tint="0.39997558519241921"/>
  </sheetPr>
  <dimension ref="A1:R94"/>
  <sheetViews>
    <sheetView zoomScaleNormal="100" workbookViewId="0">
      <selection activeCell="G20" sqref="G20"/>
    </sheetView>
  </sheetViews>
  <sheetFormatPr defaultColWidth="9.140625" defaultRowHeight="15" x14ac:dyDescent="0.25"/>
  <cols>
    <col min="1" max="1" width="20.7109375" bestFit="1" customWidth="1"/>
    <col min="2" max="2" width="26.42578125" bestFit="1" customWidth="1"/>
    <col min="3" max="3" width="21" bestFit="1" customWidth="1"/>
    <col min="4" max="4" width="20.85546875" bestFit="1" customWidth="1"/>
    <col min="5" max="5" width="22.28515625" bestFit="1" customWidth="1"/>
    <col min="6" max="6" width="24.85546875" bestFit="1" customWidth="1"/>
    <col min="7" max="7" width="26.42578125" bestFit="1" customWidth="1"/>
    <col min="8" max="8" width="38.7109375" bestFit="1" customWidth="1"/>
    <col min="9" max="9" width="26.42578125" bestFit="1" customWidth="1"/>
    <col min="10" max="10" width="7.5703125" bestFit="1" customWidth="1"/>
    <col min="11" max="11" width="34.140625" bestFit="1" customWidth="1"/>
    <col min="12" max="12" width="36.28515625" bestFit="1" customWidth="1"/>
    <col min="13" max="13" width="33" bestFit="1" customWidth="1"/>
    <col min="14" max="14" width="30.28515625" bestFit="1" customWidth="1"/>
    <col min="15" max="15" width="40.42578125" bestFit="1" customWidth="1"/>
    <col min="16" max="16" width="14.5703125" bestFit="1" customWidth="1"/>
    <col min="17" max="17" width="33" bestFit="1" customWidth="1"/>
    <col min="18" max="18" width="37.28515625" bestFit="1" customWidth="1"/>
  </cols>
  <sheetData>
    <row r="1" spans="1:18" x14ac:dyDescent="0.25">
      <c r="A1" s="43" t="s">
        <v>132</v>
      </c>
      <c r="B1" s="43" t="s">
        <v>133</v>
      </c>
      <c r="C1" s="43" t="s">
        <v>134</v>
      </c>
      <c r="D1" s="43" t="s">
        <v>139</v>
      </c>
      <c r="E1" s="43" t="s">
        <v>142</v>
      </c>
      <c r="F1" s="43" t="s">
        <v>141</v>
      </c>
      <c r="G1" s="43" t="s">
        <v>1893</v>
      </c>
      <c r="H1" s="43" t="s">
        <v>146</v>
      </c>
      <c r="I1" s="43" t="s">
        <v>1894</v>
      </c>
      <c r="J1" s="43" t="s">
        <v>1895</v>
      </c>
      <c r="K1" s="43" t="s">
        <v>1896</v>
      </c>
      <c r="L1" s="43" t="s">
        <v>1897</v>
      </c>
      <c r="M1" s="43" t="s">
        <v>1898</v>
      </c>
      <c r="N1" s="43" t="s">
        <v>1899</v>
      </c>
      <c r="O1" s="43" t="s">
        <v>1900</v>
      </c>
      <c r="P1" s="43" t="s">
        <v>1901</v>
      </c>
      <c r="Q1" s="43" t="s">
        <v>1902</v>
      </c>
      <c r="R1" s="43" t="s">
        <v>1903</v>
      </c>
    </row>
    <row r="2" spans="1:18" x14ac:dyDescent="0.25">
      <c r="A2" t="s">
        <v>45</v>
      </c>
      <c r="B2" t="s">
        <v>29</v>
      </c>
      <c r="C2" t="s">
        <v>61</v>
      </c>
      <c r="D2" t="s">
        <v>1376</v>
      </c>
      <c r="E2" t="s">
        <v>1368</v>
      </c>
      <c r="F2" t="s">
        <v>31</v>
      </c>
      <c r="G2" t="s">
        <v>1377</v>
      </c>
      <c r="H2" t="s">
        <v>1378</v>
      </c>
      <c r="I2" t="s">
        <v>1379</v>
      </c>
      <c r="J2" t="s">
        <v>1380</v>
      </c>
      <c r="K2" t="s">
        <v>1381</v>
      </c>
      <c r="L2" t="s">
        <v>1103</v>
      </c>
      <c r="M2" t="s">
        <v>1103</v>
      </c>
      <c r="N2" t="s">
        <v>1371</v>
      </c>
      <c r="O2" t="s">
        <v>1382</v>
      </c>
      <c r="P2" t="s">
        <v>1383</v>
      </c>
      <c r="Q2" t="s">
        <v>1384</v>
      </c>
      <c r="R2" t="s">
        <v>1385</v>
      </c>
    </row>
    <row r="3" spans="1:18" x14ac:dyDescent="0.25">
      <c r="B3" t="s">
        <v>1392</v>
      </c>
      <c r="C3" t="s">
        <v>1393</v>
      </c>
      <c r="D3" t="s">
        <v>1394</v>
      </c>
      <c r="E3" t="s">
        <v>1386</v>
      </c>
      <c r="F3" t="s">
        <v>1395</v>
      </c>
      <c r="G3" t="s">
        <v>1396</v>
      </c>
      <c r="H3" t="s">
        <v>1397</v>
      </c>
      <c r="I3" t="s">
        <v>78</v>
      </c>
      <c r="J3" t="s">
        <v>1398</v>
      </c>
      <c r="K3" t="s">
        <v>1399</v>
      </c>
      <c r="L3" t="s">
        <v>1103</v>
      </c>
      <c r="M3" t="s">
        <v>1103</v>
      </c>
      <c r="N3" t="s">
        <v>22</v>
      </c>
      <c r="O3" t="s">
        <v>1400</v>
      </c>
    </row>
    <row r="4" spans="1:18" x14ac:dyDescent="0.25">
      <c r="B4" t="s">
        <v>1410</v>
      </c>
      <c r="C4" t="s">
        <v>47</v>
      </c>
      <c r="D4" t="s">
        <v>1411</v>
      </c>
      <c r="F4" t="s">
        <v>16</v>
      </c>
      <c r="H4" t="s">
        <v>1412</v>
      </c>
      <c r="I4" t="s">
        <v>1413</v>
      </c>
      <c r="J4" t="s">
        <v>1414</v>
      </c>
      <c r="K4" t="s">
        <v>1415</v>
      </c>
      <c r="L4" t="s">
        <v>1103</v>
      </c>
      <c r="M4" t="s">
        <v>1103</v>
      </c>
      <c r="N4" t="s">
        <v>35</v>
      </c>
      <c r="O4" t="s">
        <v>1416</v>
      </c>
    </row>
    <row r="5" spans="1:18" x14ac:dyDescent="0.25">
      <c r="B5" t="s">
        <v>1422</v>
      </c>
      <c r="C5" t="s">
        <v>1423</v>
      </c>
      <c r="D5" t="s">
        <v>1424</v>
      </c>
      <c r="F5" t="s">
        <v>1425</v>
      </c>
      <c r="H5" t="s">
        <v>1426</v>
      </c>
      <c r="I5" t="s">
        <v>59</v>
      </c>
      <c r="J5" t="s">
        <v>1427</v>
      </c>
      <c r="K5" t="s">
        <v>1428</v>
      </c>
      <c r="L5" t="s">
        <v>1429</v>
      </c>
      <c r="M5" t="s">
        <v>1103</v>
      </c>
      <c r="O5" t="s">
        <v>1430</v>
      </c>
    </row>
    <row r="6" spans="1:18" x14ac:dyDescent="0.25">
      <c r="B6" t="s">
        <v>1435</v>
      </c>
      <c r="C6" t="s">
        <v>1436</v>
      </c>
      <c r="D6" t="s">
        <v>1437</v>
      </c>
      <c r="F6" t="s">
        <v>1438</v>
      </c>
      <c r="H6" t="s">
        <v>1396</v>
      </c>
      <c r="J6" t="s">
        <v>1439</v>
      </c>
      <c r="K6" t="s">
        <v>1440</v>
      </c>
      <c r="L6" t="s">
        <v>1441</v>
      </c>
      <c r="M6" t="s">
        <v>1103</v>
      </c>
      <c r="O6" t="s">
        <v>1442</v>
      </c>
    </row>
    <row r="7" spans="1:18" x14ac:dyDescent="0.25">
      <c r="B7" t="s">
        <v>46</v>
      </c>
      <c r="C7" t="s">
        <v>1446</v>
      </c>
      <c r="D7" t="s">
        <v>1447</v>
      </c>
      <c r="F7" t="s">
        <v>1448</v>
      </c>
      <c r="H7" t="s">
        <v>1449</v>
      </c>
      <c r="J7" t="s">
        <v>1450</v>
      </c>
      <c r="K7" t="s">
        <v>1451</v>
      </c>
      <c r="L7" t="s">
        <v>1452</v>
      </c>
      <c r="M7" t="s">
        <v>1103</v>
      </c>
      <c r="O7" t="s">
        <v>1453</v>
      </c>
    </row>
    <row r="8" spans="1:18" x14ac:dyDescent="0.25">
      <c r="B8" t="s">
        <v>1457</v>
      </c>
      <c r="D8" t="s">
        <v>62</v>
      </c>
      <c r="F8" t="s">
        <v>58</v>
      </c>
      <c r="J8" t="s">
        <v>1458</v>
      </c>
      <c r="K8" t="s">
        <v>1459</v>
      </c>
      <c r="L8" t="s">
        <v>1441</v>
      </c>
      <c r="M8" t="s">
        <v>1103</v>
      </c>
      <c r="O8" t="s">
        <v>1460</v>
      </c>
    </row>
    <row r="9" spans="1:18" x14ac:dyDescent="0.25">
      <c r="B9" t="s">
        <v>55</v>
      </c>
      <c r="D9" t="s">
        <v>49</v>
      </c>
      <c r="F9" t="s">
        <v>1461</v>
      </c>
      <c r="J9" t="s">
        <v>1462</v>
      </c>
      <c r="K9" t="s">
        <v>1463</v>
      </c>
      <c r="L9" t="s">
        <v>1429</v>
      </c>
      <c r="M9" t="s">
        <v>1103</v>
      </c>
      <c r="O9" t="s">
        <v>1464</v>
      </c>
    </row>
    <row r="10" spans="1:18" x14ac:dyDescent="0.25">
      <c r="D10" t="s">
        <v>1466</v>
      </c>
      <c r="F10" t="s">
        <v>1467</v>
      </c>
      <c r="J10" t="s">
        <v>33</v>
      </c>
      <c r="K10" t="s">
        <v>1468</v>
      </c>
      <c r="L10" t="s">
        <v>1103</v>
      </c>
      <c r="M10" t="s">
        <v>1103</v>
      </c>
      <c r="O10" t="s">
        <v>1469</v>
      </c>
    </row>
    <row r="11" spans="1:18" x14ac:dyDescent="0.25">
      <c r="D11" t="s">
        <v>1470</v>
      </c>
      <c r="F11" t="s">
        <v>77</v>
      </c>
      <c r="J11" t="s">
        <v>1471</v>
      </c>
      <c r="K11" t="s">
        <v>1472</v>
      </c>
      <c r="L11" t="s">
        <v>1103</v>
      </c>
      <c r="M11" t="s">
        <v>1103</v>
      </c>
      <c r="O11" t="s">
        <v>1473</v>
      </c>
    </row>
    <row r="12" spans="1:18" x14ac:dyDescent="0.25">
      <c r="D12" t="s">
        <v>1476</v>
      </c>
      <c r="J12" t="s">
        <v>63</v>
      </c>
      <c r="K12" t="s">
        <v>1477</v>
      </c>
      <c r="L12" t="s">
        <v>1103</v>
      </c>
      <c r="M12" t="s">
        <v>1103</v>
      </c>
      <c r="O12" t="s">
        <v>1478</v>
      </c>
    </row>
    <row r="13" spans="1:18" x14ac:dyDescent="0.25">
      <c r="D13" t="s">
        <v>1481</v>
      </c>
      <c r="J13" t="s">
        <v>1482</v>
      </c>
      <c r="K13" t="s">
        <v>1483</v>
      </c>
      <c r="L13" t="s">
        <v>1103</v>
      </c>
      <c r="M13" t="s">
        <v>1103</v>
      </c>
      <c r="O13" t="s">
        <v>1163</v>
      </c>
    </row>
    <row r="14" spans="1:18" x14ac:dyDescent="0.25">
      <c r="D14" t="s">
        <v>1487</v>
      </c>
      <c r="J14" t="s">
        <v>1488</v>
      </c>
      <c r="K14" t="s">
        <v>1489</v>
      </c>
      <c r="L14" t="s">
        <v>1103</v>
      </c>
      <c r="M14" t="s">
        <v>1103</v>
      </c>
      <c r="O14" t="s">
        <v>1490</v>
      </c>
    </row>
    <row r="15" spans="1:18" x14ac:dyDescent="0.25">
      <c r="D15" t="s">
        <v>1493</v>
      </c>
      <c r="J15" t="s">
        <v>1330</v>
      </c>
      <c r="K15" t="s">
        <v>1494</v>
      </c>
      <c r="L15" t="s">
        <v>1103</v>
      </c>
      <c r="M15" t="s">
        <v>1103</v>
      </c>
      <c r="O15" t="s">
        <v>1495</v>
      </c>
    </row>
    <row r="16" spans="1:18" x14ac:dyDescent="0.25">
      <c r="J16" t="s">
        <v>1499</v>
      </c>
      <c r="K16" t="s">
        <v>1500</v>
      </c>
      <c r="L16" t="s">
        <v>1103</v>
      </c>
      <c r="M16" t="s">
        <v>1103</v>
      </c>
      <c r="O16" t="s">
        <v>1501</v>
      </c>
    </row>
    <row r="17" spans="10:15" x14ac:dyDescent="0.25">
      <c r="J17" t="s">
        <v>1339</v>
      </c>
      <c r="K17" t="s">
        <v>1505</v>
      </c>
      <c r="L17" t="s">
        <v>1103</v>
      </c>
      <c r="M17" t="s">
        <v>1103</v>
      </c>
      <c r="O17" t="s">
        <v>1506</v>
      </c>
    </row>
    <row r="18" spans="10:15" x14ac:dyDescent="0.25">
      <c r="J18" t="s">
        <v>1510</v>
      </c>
      <c r="K18" t="s">
        <v>1511</v>
      </c>
      <c r="L18" t="s">
        <v>1103</v>
      </c>
      <c r="M18" t="s">
        <v>1103</v>
      </c>
    </row>
    <row r="19" spans="10:15" x14ac:dyDescent="0.25">
      <c r="J19" t="s">
        <v>1343</v>
      </c>
      <c r="K19" t="s">
        <v>1514</v>
      </c>
      <c r="L19" t="s">
        <v>1103</v>
      </c>
      <c r="M19" t="s">
        <v>1103</v>
      </c>
    </row>
    <row r="20" spans="10:15" x14ac:dyDescent="0.25">
      <c r="J20" t="s">
        <v>1518</v>
      </c>
      <c r="K20" t="s">
        <v>1519</v>
      </c>
      <c r="L20" t="s">
        <v>1103</v>
      </c>
      <c r="M20" t="s">
        <v>1103</v>
      </c>
    </row>
    <row r="21" spans="10:15" x14ac:dyDescent="0.25">
      <c r="J21" t="s">
        <v>1522</v>
      </c>
      <c r="K21" t="s">
        <v>1523</v>
      </c>
      <c r="L21" t="s">
        <v>1103</v>
      </c>
      <c r="M21" t="s">
        <v>1103</v>
      </c>
    </row>
    <row r="22" spans="10:15" x14ac:dyDescent="0.25">
      <c r="J22" t="s">
        <v>50</v>
      </c>
      <c r="K22" t="s">
        <v>1527</v>
      </c>
      <c r="L22" t="s">
        <v>1103</v>
      </c>
      <c r="M22" t="s">
        <v>1103</v>
      </c>
    </row>
    <row r="23" spans="10:15" x14ac:dyDescent="0.25">
      <c r="J23" t="s">
        <v>66</v>
      </c>
      <c r="K23" t="s">
        <v>1530</v>
      </c>
      <c r="L23" t="s">
        <v>1103</v>
      </c>
      <c r="M23" t="s">
        <v>1103</v>
      </c>
    </row>
    <row r="24" spans="10:15" x14ac:dyDescent="0.25">
      <c r="J24" t="s">
        <v>1352</v>
      </c>
      <c r="K24" t="s">
        <v>1533</v>
      </c>
      <c r="L24" t="s">
        <v>1103</v>
      </c>
      <c r="M24" t="s">
        <v>1103</v>
      </c>
    </row>
    <row r="25" spans="10:15" x14ac:dyDescent="0.25">
      <c r="J25" t="s">
        <v>1536</v>
      </c>
      <c r="K25" t="s">
        <v>1537</v>
      </c>
      <c r="L25" t="s">
        <v>1103</v>
      </c>
      <c r="M25" t="s">
        <v>1103</v>
      </c>
    </row>
    <row r="26" spans="10:15" x14ac:dyDescent="0.25">
      <c r="J26" t="s">
        <v>1540</v>
      </c>
      <c r="K26" t="s">
        <v>1541</v>
      </c>
      <c r="L26" t="s">
        <v>1103</v>
      </c>
      <c r="M26" t="s">
        <v>1103</v>
      </c>
    </row>
    <row r="27" spans="10:15" x14ac:dyDescent="0.25">
      <c r="J27" t="s">
        <v>1355</v>
      </c>
      <c r="K27" t="s">
        <v>1544</v>
      </c>
      <c r="L27" t="s">
        <v>1103</v>
      </c>
      <c r="M27" t="s">
        <v>1103</v>
      </c>
    </row>
    <row r="28" spans="10:15" x14ac:dyDescent="0.25">
      <c r="J28" t="s">
        <v>1358</v>
      </c>
      <c r="K28" t="s">
        <v>1547</v>
      </c>
      <c r="L28" t="s">
        <v>1103</v>
      </c>
      <c r="M28" t="s">
        <v>1103</v>
      </c>
    </row>
    <row r="29" spans="10:15" x14ac:dyDescent="0.25">
      <c r="J29" t="s">
        <v>1361</v>
      </c>
      <c r="K29" t="s">
        <v>1549</v>
      </c>
      <c r="L29" t="s">
        <v>1103</v>
      </c>
      <c r="M29" t="s">
        <v>1103</v>
      </c>
    </row>
    <row r="30" spans="10:15" x14ac:dyDescent="0.25">
      <c r="J30" t="s">
        <v>1551</v>
      </c>
      <c r="K30" t="s">
        <v>1552</v>
      </c>
      <c r="L30" t="s">
        <v>1103</v>
      </c>
      <c r="M30" t="s">
        <v>1103</v>
      </c>
    </row>
    <row r="31" spans="10:15" x14ac:dyDescent="0.25">
      <c r="J31" t="s">
        <v>1553</v>
      </c>
      <c r="K31" t="s">
        <v>1554</v>
      </c>
      <c r="L31" t="s">
        <v>1103</v>
      </c>
      <c r="M31" t="s">
        <v>1103</v>
      </c>
    </row>
    <row r="32" spans="10:15" x14ac:dyDescent="0.25">
      <c r="J32" t="s">
        <v>1555</v>
      </c>
      <c r="K32" t="s">
        <v>1556</v>
      </c>
      <c r="L32" t="s">
        <v>1527</v>
      </c>
      <c r="M32" t="s">
        <v>1103</v>
      </c>
    </row>
    <row r="33" spans="10:13" x14ac:dyDescent="0.25">
      <c r="J33" t="s">
        <v>1557</v>
      </c>
      <c r="K33" t="s">
        <v>1558</v>
      </c>
      <c r="L33" t="s">
        <v>1527</v>
      </c>
      <c r="M33" t="s">
        <v>1103</v>
      </c>
    </row>
    <row r="34" spans="10:13" x14ac:dyDescent="0.25">
      <c r="J34" t="s">
        <v>1560</v>
      </c>
      <c r="K34" t="s">
        <v>1561</v>
      </c>
      <c r="L34" t="s">
        <v>1562</v>
      </c>
      <c r="M34" t="s">
        <v>1103</v>
      </c>
    </row>
    <row r="35" spans="10:13" x14ac:dyDescent="0.25">
      <c r="J35" t="s">
        <v>1564</v>
      </c>
      <c r="K35" t="s">
        <v>1565</v>
      </c>
      <c r="L35" t="s">
        <v>1527</v>
      </c>
      <c r="M35" t="s">
        <v>1103</v>
      </c>
    </row>
    <row r="36" spans="10:13" x14ac:dyDescent="0.25">
      <c r="J36" t="s">
        <v>1566</v>
      </c>
      <c r="K36" t="s">
        <v>1567</v>
      </c>
      <c r="L36" t="s">
        <v>1568</v>
      </c>
      <c r="M36" t="s">
        <v>1533</v>
      </c>
    </row>
    <row r="37" spans="10:13" x14ac:dyDescent="0.25">
      <c r="J37" t="s">
        <v>1570</v>
      </c>
      <c r="K37" t="s">
        <v>1567</v>
      </c>
      <c r="L37" t="s">
        <v>1527</v>
      </c>
      <c r="M37" t="s">
        <v>1103</v>
      </c>
    </row>
    <row r="38" spans="10:13" x14ac:dyDescent="0.25">
      <c r="J38" t="s">
        <v>1572</v>
      </c>
      <c r="K38" t="s">
        <v>1567</v>
      </c>
      <c r="L38" t="s">
        <v>1533</v>
      </c>
      <c r="M38" t="s">
        <v>1103</v>
      </c>
    </row>
    <row r="39" spans="10:13" x14ac:dyDescent="0.25">
      <c r="J39" t="s">
        <v>1574</v>
      </c>
      <c r="K39" t="s">
        <v>1575</v>
      </c>
      <c r="L39" t="s">
        <v>1527</v>
      </c>
      <c r="M39" t="s">
        <v>1103</v>
      </c>
    </row>
    <row r="40" spans="10:13" x14ac:dyDescent="0.25">
      <c r="J40" t="s">
        <v>1577</v>
      </c>
      <c r="K40" t="s">
        <v>1578</v>
      </c>
      <c r="L40" t="s">
        <v>1527</v>
      </c>
      <c r="M40" t="s">
        <v>1103</v>
      </c>
    </row>
    <row r="41" spans="10:13" x14ac:dyDescent="0.25">
      <c r="J41" t="s">
        <v>1579</v>
      </c>
      <c r="K41" t="s">
        <v>1561</v>
      </c>
      <c r="L41" t="s">
        <v>1533</v>
      </c>
      <c r="M41" t="s">
        <v>1103</v>
      </c>
    </row>
    <row r="42" spans="10:13" x14ac:dyDescent="0.25">
      <c r="J42" t="s">
        <v>1581</v>
      </c>
      <c r="K42" t="s">
        <v>1561</v>
      </c>
      <c r="L42" t="s">
        <v>1547</v>
      </c>
      <c r="M42" t="s">
        <v>1103</v>
      </c>
    </row>
    <row r="43" spans="10:13" x14ac:dyDescent="0.25">
      <c r="J43" t="s">
        <v>1583</v>
      </c>
      <c r="K43" t="s">
        <v>1584</v>
      </c>
      <c r="L43" t="s">
        <v>1585</v>
      </c>
      <c r="M43" t="s">
        <v>1103</v>
      </c>
    </row>
    <row r="44" spans="10:13" x14ac:dyDescent="0.25">
      <c r="J44" t="s">
        <v>1587</v>
      </c>
      <c r="K44" t="s">
        <v>1588</v>
      </c>
      <c r="L44" t="s">
        <v>1589</v>
      </c>
      <c r="M44" t="s">
        <v>1103</v>
      </c>
    </row>
    <row r="45" spans="10:13" x14ac:dyDescent="0.25">
      <c r="J45" t="s">
        <v>1591</v>
      </c>
      <c r="K45" t="s">
        <v>1592</v>
      </c>
      <c r="L45" t="s">
        <v>1527</v>
      </c>
      <c r="M45" t="s">
        <v>1103</v>
      </c>
    </row>
    <row r="46" spans="10:13" x14ac:dyDescent="0.25">
      <c r="J46" t="s">
        <v>1594</v>
      </c>
      <c r="K46" t="s">
        <v>1595</v>
      </c>
      <c r="L46" t="s">
        <v>1527</v>
      </c>
      <c r="M46" t="s">
        <v>1103</v>
      </c>
    </row>
    <row r="47" spans="10:13" x14ac:dyDescent="0.25">
      <c r="J47" t="s">
        <v>1597</v>
      </c>
      <c r="K47" t="s">
        <v>1588</v>
      </c>
      <c r="L47" t="s">
        <v>1527</v>
      </c>
      <c r="M47" t="s">
        <v>1103</v>
      </c>
    </row>
    <row r="48" spans="10:13" x14ac:dyDescent="0.25">
      <c r="J48" t="s">
        <v>1598</v>
      </c>
      <c r="K48" t="s">
        <v>1588</v>
      </c>
      <c r="L48" t="s">
        <v>1533</v>
      </c>
      <c r="M48" t="s">
        <v>1103</v>
      </c>
    </row>
    <row r="49" spans="10:13" x14ac:dyDescent="0.25">
      <c r="J49" t="s">
        <v>1599</v>
      </c>
      <c r="K49" t="s">
        <v>1588</v>
      </c>
      <c r="L49" t="s">
        <v>1547</v>
      </c>
      <c r="M49" t="s">
        <v>1103</v>
      </c>
    </row>
    <row r="50" spans="10:13" x14ac:dyDescent="0.25">
      <c r="J50" t="s">
        <v>1600</v>
      </c>
      <c r="K50" t="s">
        <v>1588</v>
      </c>
      <c r="L50" t="s">
        <v>1575</v>
      </c>
      <c r="M50" t="s">
        <v>1527</v>
      </c>
    </row>
    <row r="51" spans="10:13" x14ac:dyDescent="0.25">
      <c r="J51" t="s">
        <v>19</v>
      </c>
      <c r="K51" t="s">
        <v>1588</v>
      </c>
      <c r="L51" t="s">
        <v>1561</v>
      </c>
      <c r="M51" t="s">
        <v>1533</v>
      </c>
    </row>
    <row r="52" spans="10:13" x14ac:dyDescent="0.25">
      <c r="J52" t="s">
        <v>1601</v>
      </c>
      <c r="K52" t="s">
        <v>1588</v>
      </c>
      <c r="L52" t="s">
        <v>1602</v>
      </c>
      <c r="M52" t="s">
        <v>1547</v>
      </c>
    </row>
    <row r="53" spans="10:13" x14ac:dyDescent="0.25">
      <c r="J53" t="s">
        <v>1603</v>
      </c>
      <c r="K53" t="s">
        <v>1604</v>
      </c>
      <c r="L53" t="s">
        <v>1533</v>
      </c>
      <c r="M53" t="s">
        <v>1103</v>
      </c>
    </row>
    <row r="54" spans="10:13" x14ac:dyDescent="0.25">
      <c r="J54" t="s">
        <v>1605</v>
      </c>
      <c r="K54" t="s">
        <v>1606</v>
      </c>
      <c r="L54" t="s">
        <v>1527</v>
      </c>
      <c r="M54" t="s">
        <v>1103</v>
      </c>
    </row>
    <row r="55" spans="10:13" x14ac:dyDescent="0.25">
      <c r="J55" t="s">
        <v>1607</v>
      </c>
      <c r="K55" t="s">
        <v>1608</v>
      </c>
      <c r="L55" t="s">
        <v>1561</v>
      </c>
      <c r="M55" t="s">
        <v>1533</v>
      </c>
    </row>
    <row r="56" spans="10:13" x14ac:dyDescent="0.25">
      <c r="J56" t="s">
        <v>1609</v>
      </c>
      <c r="K56" t="s">
        <v>1608</v>
      </c>
      <c r="L56" t="s">
        <v>1533</v>
      </c>
      <c r="M56" t="s">
        <v>1103</v>
      </c>
    </row>
    <row r="57" spans="10:13" x14ac:dyDescent="0.25">
      <c r="J57" t="s">
        <v>1610</v>
      </c>
      <c r="K57" t="s">
        <v>1608</v>
      </c>
      <c r="L57" t="s">
        <v>1527</v>
      </c>
      <c r="M57" t="s">
        <v>1103</v>
      </c>
    </row>
    <row r="58" spans="10:13" x14ac:dyDescent="0.25">
      <c r="J58" t="s">
        <v>1611</v>
      </c>
      <c r="K58" t="s">
        <v>1612</v>
      </c>
      <c r="L58" t="s">
        <v>1533</v>
      </c>
      <c r="M58" t="s">
        <v>1103</v>
      </c>
    </row>
    <row r="59" spans="10:13" x14ac:dyDescent="0.25">
      <c r="J59" t="s">
        <v>1613</v>
      </c>
      <c r="K59" t="s">
        <v>1612</v>
      </c>
      <c r="L59" t="s">
        <v>1547</v>
      </c>
      <c r="M59" t="s">
        <v>1103</v>
      </c>
    </row>
    <row r="60" spans="10:13" x14ac:dyDescent="0.25">
      <c r="J60" t="s">
        <v>1614</v>
      </c>
      <c r="K60" t="s">
        <v>1612</v>
      </c>
      <c r="L60" t="s">
        <v>1615</v>
      </c>
      <c r="M60" t="s">
        <v>1547</v>
      </c>
    </row>
    <row r="61" spans="10:13" x14ac:dyDescent="0.25">
      <c r="J61" t="s">
        <v>1616</v>
      </c>
      <c r="K61" t="s">
        <v>1617</v>
      </c>
      <c r="L61" t="s">
        <v>1618</v>
      </c>
      <c r="M61" t="s">
        <v>1103</v>
      </c>
    </row>
    <row r="62" spans="10:13" x14ac:dyDescent="0.25">
      <c r="J62" t="s">
        <v>1619</v>
      </c>
      <c r="K62" t="s">
        <v>1620</v>
      </c>
      <c r="L62" t="s">
        <v>1103</v>
      </c>
      <c r="M62" t="s">
        <v>1103</v>
      </c>
    </row>
    <row r="63" spans="10:13" x14ac:dyDescent="0.25">
      <c r="J63" t="s">
        <v>1621</v>
      </c>
      <c r="K63" t="s">
        <v>1612</v>
      </c>
      <c r="L63" t="s">
        <v>1622</v>
      </c>
      <c r="M63" t="s">
        <v>1103</v>
      </c>
    </row>
    <row r="64" spans="10:13" x14ac:dyDescent="0.25">
      <c r="J64" t="s">
        <v>1623</v>
      </c>
      <c r="K64" t="s">
        <v>1612</v>
      </c>
      <c r="L64" t="s">
        <v>1624</v>
      </c>
      <c r="M64" t="s">
        <v>1625</v>
      </c>
    </row>
    <row r="65" spans="10:13" x14ac:dyDescent="0.25">
      <c r="J65" t="s">
        <v>1626</v>
      </c>
      <c r="K65" t="s">
        <v>1627</v>
      </c>
      <c r="L65" t="s">
        <v>1615</v>
      </c>
      <c r="M65" t="s">
        <v>1547</v>
      </c>
    </row>
    <row r="66" spans="10:13" x14ac:dyDescent="0.25">
      <c r="J66" t="s">
        <v>1628</v>
      </c>
      <c r="K66" t="s">
        <v>1629</v>
      </c>
      <c r="L66" t="s">
        <v>1589</v>
      </c>
      <c r="M66" t="s">
        <v>1103</v>
      </c>
    </row>
    <row r="67" spans="10:13" x14ac:dyDescent="0.25">
      <c r="J67" t="s">
        <v>1324</v>
      </c>
      <c r="K67" t="s">
        <v>1630</v>
      </c>
      <c r="L67" t="s">
        <v>1527</v>
      </c>
      <c r="M67" t="s">
        <v>1103</v>
      </c>
    </row>
    <row r="68" spans="10:13" x14ac:dyDescent="0.25">
      <c r="J68" t="s">
        <v>1631</v>
      </c>
      <c r="K68" t="s">
        <v>1629</v>
      </c>
      <c r="L68" t="s">
        <v>1527</v>
      </c>
      <c r="M68" t="s">
        <v>1103</v>
      </c>
    </row>
    <row r="69" spans="10:13" x14ac:dyDescent="0.25">
      <c r="J69" t="s">
        <v>1632</v>
      </c>
      <c r="K69" t="s">
        <v>1629</v>
      </c>
      <c r="L69" t="s">
        <v>1533</v>
      </c>
      <c r="M69" t="s">
        <v>1103</v>
      </c>
    </row>
    <row r="70" spans="10:13" x14ac:dyDescent="0.25">
      <c r="J70" t="s">
        <v>83</v>
      </c>
      <c r="K70" t="s">
        <v>1629</v>
      </c>
      <c r="L70" t="s">
        <v>1633</v>
      </c>
      <c r="M70" t="s">
        <v>1533</v>
      </c>
    </row>
    <row r="71" spans="10:13" x14ac:dyDescent="0.25">
      <c r="J71" t="s">
        <v>1634</v>
      </c>
      <c r="K71" t="s">
        <v>1630</v>
      </c>
      <c r="L71" t="s">
        <v>1547</v>
      </c>
      <c r="M71" t="s">
        <v>1103</v>
      </c>
    </row>
    <row r="72" spans="10:13" x14ac:dyDescent="0.25">
      <c r="J72" t="s">
        <v>1635</v>
      </c>
      <c r="K72" t="s">
        <v>1629</v>
      </c>
      <c r="L72" t="s">
        <v>1561</v>
      </c>
      <c r="M72" t="s">
        <v>1533</v>
      </c>
    </row>
    <row r="73" spans="10:13" x14ac:dyDescent="0.25">
      <c r="J73" t="s">
        <v>1636</v>
      </c>
      <c r="K73" t="s">
        <v>1637</v>
      </c>
      <c r="L73" t="s">
        <v>1561</v>
      </c>
      <c r="M73" t="s">
        <v>1533</v>
      </c>
    </row>
    <row r="74" spans="10:13" x14ac:dyDescent="0.25">
      <c r="J74" t="s">
        <v>1638</v>
      </c>
      <c r="K74" t="s">
        <v>1639</v>
      </c>
      <c r="L74" t="s">
        <v>1640</v>
      </c>
      <c r="M74" t="s">
        <v>1533</v>
      </c>
    </row>
    <row r="75" spans="10:13" x14ac:dyDescent="0.25">
      <c r="J75" t="s">
        <v>1641</v>
      </c>
      <c r="K75" t="s">
        <v>1629</v>
      </c>
      <c r="L75" t="s">
        <v>1642</v>
      </c>
      <c r="M75" t="s">
        <v>1533</v>
      </c>
    </row>
    <row r="76" spans="10:13" x14ac:dyDescent="0.25">
      <c r="J76" t="s">
        <v>1643</v>
      </c>
      <c r="K76" t="s">
        <v>1644</v>
      </c>
      <c r="L76" t="s">
        <v>1645</v>
      </c>
      <c r="M76" t="s">
        <v>1533</v>
      </c>
    </row>
    <row r="77" spans="10:13" x14ac:dyDescent="0.25">
      <c r="J77" t="s">
        <v>1646</v>
      </c>
      <c r="K77" t="s">
        <v>1647</v>
      </c>
      <c r="L77" t="s">
        <v>1648</v>
      </c>
      <c r="M77" t="s">
        <v>1547</v>
      </c>
    </row>
    <row r="78" spans="10:13" x14ac:dyDescent="0.25">
      <c r="J78" t="s">
        <v>1649</v>
      </c>
      <c r="K78" t="s">
        <v>1650</v>
      </c>
      <c r="L78" t="s">
        <v>1651</v>
      </c>
      <c r="M78" t="s">
        <v>1547</v>
      </c>
    </row>
    <row r="79" spans="10:13" x14ac:dyDescent="0.25">
      <c r="J79" t="s">
        <v>1652</v>
      </c>
      <c r="K79" t="s">
        <v>1653</v>
      </c>
      <c r="L79" t="s">
        <v>1533</v>
      </c>
      <c r="M79" t="s">
        <v>1103</v>
      </c>
    </row>
    <row r="80" spans="10:13" x14ac:dyDescent="0.25">
      <c r="J80" t="s">
        <v>1654</v>
      </c>
      <c r="K80" t="s">
        <v>1655</v>
      </c>
      <c r="L80" t="s">
        <v>1648</v>
      </c>
      <c r="M80" t="s">
        <v>1547</v>
      </c>
    </row>
    <row r="81" spans="10:13" x14ac:dyDescent="0.25">
      <c r="J81" t="s">
        <v>1656</v>
      </c>
      <c r="K81" t="s">
        <v>1653</v>
      </c>
      <c r="L81" t="s">
        <v>1615</v>
      </c>
      <c r="M81" t="s">
        <v>1547</v>
      </c>
    </row>
    <row r="82" spans="10:13" x14ac:dyDescent="0.25">
      <c r="J82" t="s">
        <v>1657</v>
      </c>
      <c r="K82" t="s">
        <v>1658</v>
      </c>
      <c r="L82" t="s">
        <v>1612</v>
      </c>
      <c r="M82" t="s">
        <v>1533</v>
      </c>
    </row>
    <row r="83" spans="10:13" x14ac:dyDescent="0.25">
      <c r="J83" t="s">
        <v>1659</v>
      </c>
      <c r="K83" t="s">
        <v>1629</v>
      </c>
      <c r="L83" t="s">
        <v>1640</v>
      </c>
      <c r="M83" t="s">
        <v>1533</v>
      </c>
    </row>
    <row r="84" spans="10:13" x14ac:dyDescent="0.25">
      <c r="J84" t="s">
        <v>1660</v>
      </c>
      <c r="K84" t="s">
        <v>1661</v>
      </c>
      <c r="L84" t="s">
        <v>1633</v>
      </c>
      <c r="M84" t="s">
        <v>1533</v>
      </c>
    </row>
    <row r="85" spans="10:13" x14ac:dyDescent="0.25">
      <c r="J85" t="s">
        <v>1662</v>
      </c>
      <c r="K85" t="s">
        <v>1663</v>
      </c>
      <c r="L85" t="s">
        <v>1547</v>
      </c>
      <c r="M85" t="s">
        <v>1103</v>
      </c>
    </row>
    <row r="86" spans="10:13" x14ac:dyDescent="0.25">
      <c r="J86" t="s">
        <v>1664</v>
      </c>
      <c r="K86" t="s">
        <v>1665</v>
      </c>
      <c r="L86" t="s">
        <v>1527</v>
      </c>
      <c r="M86" t="s">
        <v>1103</v>
      </c>
    </row>
    <row r="87" spans="10:13" x14ac:dyDescent="0.25">
      <c r="J87" t="s">
        <v>1666</v>
      </c>
      <c r="K87" t="s">
        <v>1667</v>
      </c>
      <c r="L87" t="s">
        <v>1561</v>
      </c>
      <c r="M87" t="s">
        <v>1533</v>
      </c>
    </row>
    <row r="88" spans="10:13" x14ac:dyDescent="0.25">
      <c r="J88" t="s">
        <v>1668</v>
      </c>
      <c r="K88" t="s">
        <v>1665</v>
      </c>
      <c r="L88" t="s">
        <v>1561</v>
      </c>
      <c r="M88" t="s">
        <v>1533</v>
      </c>
    </row>
    <row r="89" spans="10:13" x14ac:dyDescent="0.25">
      <c r="J89" t="s">
        <v>1669</v>
      </c>
      <c r="K89" t="s">
        <v>1670</v>
      </c>
      <c r="L89" t="s">
        <v>1588</v>
      </c>
      <c r="M89" t="s">
        <v>1533</v>
      </c>
    </row>
    <row r="90" spans="10:13" x14ac:dyDescent="0.25">
      <c r="J90" t="s">
        <v>1671</v>
      </c>
      <c r="K90" t="s">
        <v>1672</v>
      </c>
      <c r="L90" t="s">
        <v>1615</v>
      </c>
      <c r="M90" t="s">
        <v>1547</v>
      </c>
    </row>
    <row r="91" spans="10:13" x14ac:dyDescent="0.25">
      <c r="J91" t="s">
        <v>1673</v>
      </c>
      <c r="K91" t="s">
        <v>1672</v>
      </c>
      <c r="L91" t="s">
        <v>1648</v>
      </c>
      <c r="M91" t="s">
        <v>1547</v>
      </c>
    </row>
    <row r="92" spans="10:13" x14ac:dyDescent="0.25">
      <c r="J92" t="s">
        <v>1674</v>
      </c>
      <c r="K92" t="s">
        <v>1675</v>
      </c>
      <c r="L92" t="s">
        <v>1541</v>
      </c>
      <c r="M92" t="s">
        <v>1103</v>
      </c>
    </row>
    <row r="93" spans="10:13" x14ac:dyDescent="0.25">
      <c r="J93" t="s">
        <v>1676</v>
      </c>
      <c r="K93" t="s">
        <v>1677</v>
      </c>
      <c r="L93" t="s">
        <v>1527</v>
      </c>
      <c r="M93" t="s">
        <v>1103</v>
      </c>
    </row>
    <row r="94" spans="10:13" x14ac:dyDescent="0.25">
      <c r="J94" t="s">
        <v>1678</v>
      </c>
      <c r="K94" t="s">
        <v>1533</v>
      </c>
      <c r="L94" t="s">
        <v>1679</v>
      </c>
      <c r="M94" t="s">
        <v>1103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owSources366101">
    <tabColor theme="6"/>
  </sheetPr>
  <dimension ref="A1:M64"/>
  <sheetViews>
    <sheetView workbookViewId="0"/>
  </sheetViews>
  <sheetFormatPr defaultColWidth="9.140625" defaultRowHeight="15" x14ac:dyDescent="0.25"/>
  <cols>
    <col min="1" max="1" width="21.7109375" bestFit="1" customWidth="1"/>
    <col min="2" max="2" width="26" bestFit="1" customWidth="1"/>
    <col min="3" max="3" width="28.28515625" bestFit="1" customWidth="1"/>
    <col min="4" max="4" width="19.5703125" bestFit="1" customWidth="1"/>
    <col min="5" max="5" width="22.5703125" bestFit="1" customWidth="1"/>
    <col min="6" max="6" width="24.5703125" bestFit="1" customWidth="1"/>
    <col min="7" max="7" width="39.85546875" bestFit="1" customWidth="1"/>
    <col min="8" max="8" width="28" bestFit="1" customWidth="1"/>
    <col min="9" max="9" width="33.42578125" bestFit="1" customWidth="1"/>
    <col min="10" max="10" width="12.5703125" bestFit="1" customWidth="1"/>
    <col min="11" max="11" width="46.7109375" bestFit="1" customWidth="1"/>
    <col min="12" max="12" width="26.28515625" bestFit="1" customWidth="1"/>
    <col min="13" max="13" width="28.28515625" bestFit="1" customWidth="1"/>
    <col min="14" max="14" width="9.28515625" customWidth="1"/>
  </cols>
  <sheetData>
    <row r="1" spans="1:13" s="43" customFormat="1" x14ac:dyDescent="0.25">
      <c r="A1" s="43" t="s">
        <v>132</v>
      </c>
      <c r="B1" s="43" t="s">
        <v>133</v>
      </c>
      <c r="C1" s="43" t="s">
        <v>134</v>
      </c>
      <c r="D1" s="43" t="s">
        <v>139</v>
      </c>
      <c r="E1" s="43" t="s">
        <v>142</v>
      </c>
      <c r="F1" s="43" t="s">
        <v>141</v>
      </c>
      <c r="G1" s="43" t="s">
        <v>1893</v>
      </c>
      <c r="H1" s="43" t="s">
        <v>146</v>
      </c>
      <c r="I1" s="43" t="s">
        <v>1894</v>
      </c>
      <c r="J1" s="43" t="s">
        <v>1895</v>
      </c>
      <c r="K1" s="43" t="s">
        <v>1896</v>
      </c>
      <c r="L1" s="43" t="s">
        <v>1897</v>
      </c>
      <c r="M1" s="43" t="s">
        <v>1898</v>
      </c>
    </row>
    <row r="2" spans="1:13" x14ac:dyDescent="0.25">
      <c r="A2" t="s">
        <v>1680</v>
      </c>
      <c r="B2" t="s">
        <v>1681</v>
      </c>
      <c r="C2" t="s">
        <v>1682</v>
      </c>
      <c r="D2" t="s">
        <v>1683</v>
      </c>
      <c r="E2" t="s">
        <v>1684</v>
      </c>
      <c r="F2" t="s">
        <v>71</v>
      </c>
      <c r="G2" t="s">
        <v>1099</v>
      </c>
      <c r="H2" t="s">
        <v>1100</v>
      </c>
      <c r="I2" t="s">
        <v>72</v>
      </c>
      <c r="J2" t="s">
        <v>1685</v>
      </c>
      <c r="K2" t="s">
        <v>1686</v>
      </c>
      <c r="L2" t="s">
        <v>1103</v>
      </c>
      <c r="M2" t="s">
        <v>1103</v>
      </c>
    </row>
    <row r="3" spans="1:13" x14ac:dyDescent="0.25">
      <c r="A3" t="s">
        <v>1687</v>
      </c>
      <c r="B3" t="s">
        <v>1688</v>
      </c>
      <c r="C3" t="s">
        <v>1689</v>
      </c>
      <c r="D3" t="s">
        <v>1690</v>
      </c>
      <c r="E3" t="s">
        <v>1691</v>
      </c>
      <c r="F3" t="s">
        <v>1111</v>
      </c>
      <c r="G3" t="s">
        <v>1113</v>
      </c>
      <c r="I3" t="s">
        <v>1114</v>
      </c>
      <c r="J3" t="s">
        <v>1692</v>
      </c>
      <c r="K3" t="s">
        <v>1693</v>
      </c>
      <c r="L3" t="s">
        <v>1103</v>
      </c>
      <c r="M3" t="s">
        <v>1103</v>
      </c>
    </row>
    <row r="4" spans="1:13" x14ac:dyDescent="0.25">
      <c r="A4" t="s">
        <v>1694</v>
      </c>
      <c r="B4" t="s">
        <v>1695</v>
      </c>
      <c r="C4" t="s">
        <v>1696</v>
      </c>
      <c r="D4" t="s">
        <v>1697</v>
      </c>
      <c r="F4" t="s">
        <v>1121</v>
      </c>
      <c r="G4" t="s">
        <v>1100</v>
      </c>
      <c r="I4" t="s">
        <v>1122</v>
      </c>
      <c r="J4" t="s">
        <v>1698</v>
      </c>
      <c r="K4" t="s">
        <v>1699</v>
      </c>
      <c r="L4" t="s">
        <v>1103</v>
      </c>
      <c r="M4" t="s">
        <v>1103</v>
      </c>
    </row>
    <row r="5" spans="1:13" x14ac:dyDescent="0.25">
      <c r="B5" t="s">
        <v>1700</v>
      </c>
      <c r="C5" t="s">
        <v>1701</v>
      </c>
      <c r="D5" t="s">
        <v>1702</v>
      </c>
      <c r="F5" t="s">
        <v>1130</v>
      </c>
      <c r="G5" t="s">
        <v>1131</v>
      </c>
      <c r="I5" t="s">
        <v>1132</v>
      </c>
      <c r="J5" t="s">
        <v>1703</v>
      </c>
      <c r="K5" t="s">
        <v>1704</v>
      </c>
      <c r="L5" t="s">
        <v>1103</v>
      </c>
      <c r="M5" t="s">
        <v>1103</v>
      </c>
    </row>
    <row r="6" spans="1:13" x14ac:dyDescent="0.25">
      <c r="B6" t="s">
        <v>1705</v>
      </c>
      <c r="C6" t="s">
        <v>1706</v>
      </c>
      <c r="D6" t="s">
        <v>1707</v>
      </c>
      <c r="F6" t="s">
        <v>1139</v>
      </c>
      <c r="G6" t="s">
        <v>1140</v>
      </c>
      <c r="J6" t="s">
        <v>1708</v>
      </c>
      <c r="K6" t="s">
        <v>1709</v>
      </c>
      <c r="L6" t="s">
        <v>1103</v>
      </c>
      <c r="M6" t="s">
        <v>1103</v>
      </c>
    </row>
    <row r="7" spans="1:13" x14ac:dyDescent="0.25">
      <c r="B7" t="s">
        <v>1710</v>
      </c>
      <c r="C7" t="s">
        <v>1711</v>
      </c>
      <c r="D7" t="s">
        <v>1712</v>
      </c>
      <c r="F7" t="s">
        <v>1147</v>
      </c>
      <c r="G7" t="s">
        <v>1148</v>
      </c>
      <c r="J7" t="s">
        <v>1302</v>
      </c>
      <c r="K7" t="s">
        <v>1713</v>
      </c>
      <c r="L7" t="s">
        <v>1103</v>
      </c>
      <c r="M7" t="s">
        <v>1103</v>
      </c>
    </row>
    <row r="8" spans="1:13" x14ac:dyDescent="0.25">
      <c r="B8" t="s">
        <v>1714</v>
      </c>
      <c r="C8" t="s">
        <v>1715</v>
      </c>
      <c r="D8" t="s">
        <v>1716</v>
      </c>
      <c r="F8" t="s">
        <v>1160</v>
      </c>
      <c r="J8" t="s">
        <v>1717</v>
      </c>
      <c r="K8" t="s">
        <v>1718</v>
      </c>
      <c r="L8" t="s">
        <v>1103</v>
      </c>
      <c r="M8" t="s">
        <v>1103</v>
      </c>
    </row>
    <row r="9" spans="1:13" x14ac:dyDescent="0.25">
      <c r="B9" t="s">
        <v>1719</v>
      </c>
      <c r="C9" t="s">
        <v>1720</v>
      </c>
      <c r="F9" t="s">
        <v>1166</v>
      </c>
      <c r="J9" t="s">
        <v>1721</v>
      </c>
      <c r="K9" t="s">
        <v>1722</v>
      </c>
      <c r="L9" t="s">
        <v>1103</v>
      </c>
      <c r="M9" t="s">
        <v>1103</v>
      </c>
    </row>
    <row r="10" spans="1:13" x14ac:dyDescent="0.25">
      <c r="B10" t="s">
        <v>1723</v>
      </c>
      <c r="C10" t="s">
        <v>1724</v>
      </c>
      <c r="F10" t="s">
        <v>1172</v>
      </c>
      <c r="J10" t="s">
        <v>1305</v>
      </c>
      <c r="K10" t="s">
        <v>1725</v>
      </c>
      <c r="L10" t="s">
        <v>1103</v>
      </c>
      <c r="M10" t="s">
        <v>1103</v>
      </c>
    </row>
    <row r="11" spans="1:13" x14ac:dyDescent="0.25">
      <c r="B11" t="s">
        <v>1726</v>
      </c>
      <c r="C11" t="s">
        <v>1727</v>
      </c>
      <c r="F11" t="s">
        <v>1178</v>
      </c>
      <c r="J11" t="s">
        <v>1307</v>
      </c>
      <c r="K11" t="s">
        <v>1728</v>
      </c>
      <c r="L11" t="s">
        <v>1103</v>
      </c>
      <c r="M11" t="s">
        <v>1103</v>
      </c>
    </row>
    <row r="12" spans="1:13" x14ac:dyDescent="0.25">
      <c r="B12" t="s">
        <v>1729</v>
      </c>
      <c r="C12" t="s">
        <v>1730</v>
      </c>
      <c r="J12" t="s">
        <v>1309</v>
      </c>
      <c r="K12" t="s">
        <v>1731</v>
      </c>
      <c r="L12" t="s">
        <v>1103</v>
      </c>
      <c r="M12" t="s">
        <v>1103</v>
      </c>
    </row>
    <row r="13" spans="1:13" x14ac:dyDescent="0.25">
      <c r="B13" t="s">
        <v>1732</v>
      </c>
      <c r="C13" t="s">
        <v>1733</v>
      </c>
      <c r="J13" t="s">
        <v>1734</v>
      </c>
      <c r="K13" t="s">
        <v>1735</v>
      </c>
      <c r="L13" t="s">
        <v>1103</v>
      </c>
      <c r="M13" t="s">
        <v>1103</v>
      </c>
    </row>
    <row r="14" spans="1:13" x14ac:dyDescent="0.25">
      <c r="B14" t="s">
        <v>1736</v>
      </c>
      <c r="C14" t="s">
        <v>1737</v>
      </c>
      <c r="J14" t="s">
        <v>1738</v>
      </c>
      <c r="K14" t="s">
        <v>1739</v>
      </c>
      <c r="L14" t="s">
        <v>1103</v>
      </c>
      <c r="M14" t="s">
        <v>1103</v>
      </c>
    </row>
    <row r="15" spans="1:13" x14ac:dyDescent="0.25">
      <c r="B15" t="s">
        <v>1740</v>
      </c>
      <c r="C15" t="s">
        <v>1741</v>
      </c>
      <c r="J15" t="s">
        <v>1742</v>
      </c>
      <c r="K15" t="s">
        <v>1743</v>
      </c>
      <c r="L15" t="s">
        <v>1103</v>
      </c>
      <c r="M15" t="s">
        <v>1103</v>
      </c>
    </row>
    <row r="16" spans="1:13" x14ac:dyDescent="0.25">
      <c r="B16" t="s">
        <v>1744</v>
      </c>
      <c r="C16" t="s">
        <v>1745</v>
      </c>
      <c r="J16" t="s">
        <v>1746</v>
      </c>
      <c r="K16" t="s">
        <v>1747</v>
      </c>
      <c r="L16" t="s">
        <v>1103</v>
      </c>
      <c r="M16" t="s">
        <v>1103</v>
      </c>
    </row>
    <row r="17" spans="2:13" x14ac:dyDescent="0.25">
      <c r="B17" t="s">
        <v>1748</v>
      </c>
      <c r="C17" t="s">
        <v>1749</v>
      </c>
      <c r="J17" t="s">
        <v>1750</v>
      </c>
      <c r="K17" t="s">
        <v>1751</v>
      </c>
      <c r="L17" t="s">
        <v>1103</v>
      </c>
      <c r="M17" t="s">
        <v>1103</v>
      </c>
    </row>
    <row r="18" spans="2:13" x14ac:dyDescent="0.25">
      <c r="B18" t="s">
        <v>1752</v>
      </c>
      <c r="C18" t="s">
        <v>1753</v>
      </c>
      <c r="J18" t="s">
        <v>1754</v>
      </c>
      <c r="K18" t="s">
        <v>1755</v>
      </c>
      <c r="L18" t="s">
        <v>1756</v>
      </c>
      <c r="M18" t="s">
        <v>1103</v>
      </c>
    </row>
    <row r="19" spans="2:13" x14ac:dyDescent="0.25">
      <c r="B19" t="s">
        <v>1757</v>
      </c>
      <c r="C19" t="s">
        <v>1758</v>
      </c>
      <c r="J19" t="s">
        <v>1759</v>
      </c>
      <c r="K19" t="s">
        <v>1760</v>
      </c>
      <c r="L19" t="s">
        <v>1103</v>
      </c>
      <c r="M19" t="s">
        <v>1103</v>
      </c>
    </row>
    <row r="20" spans="2:13" x14ac:dyDescent="0.25">
      <c r="B20" t="s">
        <v>1761</v>
      </c>
      <c r="C20" t="s">
        <v>1762</v>
      </c>
      <c r="J20" t="s">
        <v>1763</v>
      </c>
      <c r="K20" t="s">
        <v>1764</v>
      </c>
      <c r="L20" t="s">
        <v>1103</v>
      </c>
      <c r="M20" t="s">
        <v>1103</v>
      </c>
    </row>
    <row r="21" spans="2:13" x14ac:dyDescent="0.25">
      <c r="C21" t="s">
        <v>1765</v>
      </c>
      <c r="J21" t="s">
        <v>1766</v>
      </c>
      <c r="K21" t="s">
        <v>1767</v>
      </c>
      <c r="L21" t="s">
        <v>1103</v>
      </c>
      <c r="M21" t="s">
        <v>1103</v>
      </c>
    </row>
    <row r="22" spans="2:13" x14ac:dyDescent="0.25">
      <c r="C22" t="s">
        <v>1768</v>
      </c>
      <c r="J22" t="s">
        <v>1769</v>
      </c>
      <c r="K22" t="s">
        <v>1770</v>
      </c>
      <c r="L22" t="s">
        <v>1103</v>
      </c>
      <c r="M22" t="s">
        <v>1103</v>
      </c>
    </row>
    <row r="23" spans="2:13" x14ac:dyDescent="0.25">
      <c r="C23" t="s">
        <v>1771</v>
      </c>
      <c r="J23" t="s">
        <v>1772</v>
      </c>
      <c r="K23" t="s">
        <v>1773</v>
      </c>
      <c r="L23" t="s">
        <v>1103</v>
      </c>
      <c r="M23" t="s">
        <v>1103</v>
      </c>
    </row>
    <row r="24" spans="2:13" x14ac:dyDescent="0.25">
      <c r="C24" t="s">
        <v>1774</v>
      </c>
      <c r="J24" t="s">
        <v>1775</v>
      </c>
      <c r="K24" t="s">
        <v>1776</v>
      </c>
      <c r="L24" t="s">
        <v>1103</v>
      </c>
      <c r="M24" t="s">
        <v>1103</v>
      </c>
    </row>
    <row r="25" spans="2:13" x14ac:dyDescent="0.25">
      <c r="C25" t="s">
        <v>1777</v>
      </c>
      <c r="J25" t="s">
        <v>1778</v>
      </c>
      <c r="K25" t="s">
        <v>1779</v>
      </c>
      <c r="L25" t="s">
        <v>1103</v>
      </c>
      <c r="M25" t="s">
        <v>1103</v>
      </c>
    </row>
    <row r="26" spans="2:13" x14ac:dyDescent="0.25">
      <c r="C26" t="s">
        <v>1780</v>
      </c>
      <c r="J26" t="s">
        <v>1781</v>
      </c>
      <c r="K26" t="s">
        <v>1782</v>
      </c>
      <c r="L26" t="s">
        <v>1103</v>
      </c>
      <c r="M26" t="s">
        <v>1103</v>
      </c>
    </row>
    <row r="27" spans="2:13" x14ac:dyDescent="0.25">
      <c r="C27" t="s">
        <v>1783</v>
      </c>
      <c r="J27" t="s">
        <v>1784</v>
      </c>
      <c r="K27" t="s">
        <v>1785</v>
      </c>
      <c r="L27" t="s">
        <v>1103</v>
      </c>
      <c r="M27" t="s">
        <v>1103</v>
      </c>
    </row>
    <row r="28" spans="2:13" x14ac:dyDescent="0.25">
      <c r="C28" t="s">
        <v>1786</v>
      </c>
      <c r="J28" t="s">
        <v>1787</v>
      </c>
      <c r="K28" t="s">
        <v>1788</v>
      </c>
      <c r="L28" t="s">
        <v>1103</v>
      </c>
      <c r="M28" t="s">
        <v>1103</v>
      </c>
    </row>
    <row r="29" spans="2:13" x14ac:dyDescent="0.25">
      <c r="C29" t="s">
        <v>1789</v>
      </c>
      <c r="J29" t="s">
        <v>1790</v>
      </c>
      <c r="K29" t="s">
        <v>1791</v>
      </c>
      <c r="L29" t="s">
        <v>1103</v>
      </c>
      <c r="M29" t="s">
        <v>1103</v>
      </c>
    </row>
    <row r="30" spans="2:13" x14ac:dyDescent="0.25">
      <c r="C30" t="s">
        <v>1792</v>
      </c>
      <c r="J30" t="s">
        <v>1793</v>
      </c>
      <c r="K30" t="s">
        <v>1794</v>
      </c>
      <c r="L30" t="s">
        <v>1103</v>
      </c>
      <c r="M30" t="s">
        <v>1103</v>
      </c>
    </row>
    <row r="31" spans="2:13" x14ac:dyDescent="0.25">
      <c r="C31" t="s">
        <v>1795</v>
      </c>
      <c r="J31" t="s">
        <v>1796</v>
      </c>
      <c r="K31" t="s">
        <v>1797</v>
      </c>
      <c r="L31" t="s">
        <v>1103</v>
      </c>
      <c r="M31" t="s">
        <v>1103</v>
      </c>
    </row>
    <row r="32" spans="2:13" x14ac:dyDescent="0.25">
      <c r="C32" t="s">
        <v>1798</v>
      </c>
      <c r="J32" t="s">
        <v>1799</v>
      </c>
      <c r="K32" t="s">
        <v>1800</v>
      </c>
      <c r="L32" t="s">
        <v>1103</v>
      </c>
      <c r="M32" t="s">
        <v>1103</v>
      </c>
    </row>
    <row r="33" spans="3:13" x14ac:dyDescent="0.25">
      <c r="C33" t="s">
        <v>1801</v>
      </c>
      <c r="J33" t="s">
        <v>1802</v>
      </c>
      <c r="K33" t="s">
        <v>1803</v>
      </c>
      <c r="L33" t="s">
        <v>1103</v>
      </c>
      <c r="M33" t="s">
        <v>1103</v>
      </c>
    </row>
    <row r="34" spans="3:13" x14ac:dyDescent="0.25">
      <c r="C34" t="s">
        <v>1804</v>
      </c>
      <c r="J34" t="s">
        <v>1805</v>
      </c>
      <c r="K34" t="s">
        <v>1806</v>
      </c>
      <c r="L34" t="s">
        <v>1103</v>
      </c>
      <c r="M34" t="s">
        <v>1103</v>
      </c>
    </row>
    <row r="35" spans="3:13" x14ac:dyDescent="0.25">
      <c r="C35" t="s">
        <v>1807</v>
      </c>
      <c r="J35" t="s">
        <v>1808</v>
      </c>
      <c r="K35" t="s">
        <v>1809</v>
      </c>
      <c r="L35" t="s">
        <v>1810</v>
      </c>
      <c r="M35" t="s">
        <v>1103</v>
      </c>
    </row>
    <row r="36" spans="3:13" x14ac:dyDescent="0.25">
      <c r="C36" t="s">
        <v>1811</v>
      </c>
      <c r="J36" t="s">
        <v>1812</v>
      </c>
      <c r="K36" t="s">
        <v>1809</v>
      </c>
      <c r="L36" t="s">
        <v>1813</v>
      </c>
      <c r="M36" t="s">
        <v>1103</v>
      </c>
    </row>
    <row r="37" spans="3:13" x14ac:dyDescent="0.25">
      <c r="C37" t="s">
        <v>1814</v>
      </c>
      <c r="J37" t="s">
        <v>1815</v>
      </c>
      <c r="K37" t="s">
        <v>1816</v>
      </c>
      <c r="M37" t="s">
        <v>1103</v>
      </c>
    </row>
    <row r="38" spans="3:13" x14ac:dyDescent="0.25">
      <c r="C38" t="s">
        <v>1817</v>
      </c>
      <c r="J38" t="s">
        <v>1818</v>
      </c>
      <c r="K38" t="s">
        <v>1779</v>
      </c>
      <c r="L38" t="s">
        <v>1810</v>
      </c>
      <c r="M38" t="s">
        <v>1103</v>
      </c>
    </row>
    <row r="39" spans="3:13" x14ac:dyDescent="0.25">
      <c r="C39" t="s">
        <v>1819</v>
      </c>
      <c r="J39" t="s">
        <v>1820</v>
      </c>
      <c r="K39" t="s">
        <v>1821</v>
      </c>
      <c r="L39" t="s">
        <v>1822</v>
      </c>
      <c r="M39" t="s">
        <v>1103</v>
      </c>
    </row>
    <row r="40" spans="3:13" x14ac:dyDescent="0.25">
      <c r="C40" t="s">
        <v>1823</v>
      </c>
      <c r="J40" t="s">
        <v>1824</v>
      </c>
      <c r="K40" t="s">
        <v>1816</v>
      </c>
      <c r="L40" t="s">
        <v>1810</v>
      </c>
      <c r="M40" t="s">
        <v>1103</v>
      </c>
    </row>
    <row r="41" spans="3:13" x14ac:dyDescent="0.25">
      <c r="C41" t="s">
        <v>1825</v>
      </c>
      <c r="J41" t="s">
        <v>1826</v>
      </c>
      <c r="K41" t="s">
        <v>1827</v>
      </c>
      <c r="L41" t="s">
        <v>1813</v>
      </c>
      <c r="M41" t="s">
        <v>1103</v>
      </c>
    </row>
    <row r="42" spans="3:13" x14ac:dyDescent="0.25">
      <c r="C42" t="s">
        <v>1828</v>
      </c>
      <c r="J42" t="s">
        <v>1829</v>
      </c>
      <c r="K42" t="s">
        <v>1827</v>
      </c>
      <c r="L42" t="s">
        <v>1810</v>
      </c>
      <c r="M42" t="s">
        <v>1103</v>
      </c>
    </row>
    <row r="43" spans="3:13" x14ac:dyDescent="0.25">
      <c r="C43" t="s">
        <v>1830</v>
      </c>
      <c r="J43" t="s">
        <v>1831</v>
      </c>
      <c r="K43" t="s">
        <v>1779</v>
      </c>
      <c r="L43" t="s">
        <v>1813</v>
      </c>
      <c r="M43" t="s">
        <v>1103</v>
      </c>
    </row>
    <row r="44" spans="3:13" x14ac:dyDescent="0.25">
      <c r="C44" t="s">
        <v>1832</v>
      </c>
      <c r="J44" t="s">
        <v>1833</v>
      </c>
      <c r="K44" t="s">
        <v>1821</v>
      </c>
      <c r="L44" t="s">
        <v>1810</v>
      </c>
      <c r="M44" t="s">
        <v>1103</v>
      </c>
    </row>
    <row r="45" spans="3:13" x14ac:dyDescent="0.25">
      <c r="C45" t="s">
        <v>1834</v>
      </c>
      <c r="J45" t="s">
        <v>1835</v>
      </c>
      <c r="K45" t="s">
        <v>1821</v>
      </c>
      <c r="L45" t="s">
        <v>1813</v>
      </c>
      <c r="M45" t="s">
        <v>1103</v>
      </c>
    </row>
    <row r="46" spans="3:13" x14ac:dyDescent="0.25">
      <c r="C46" t="s">
        <v>1836</v>
      </c>
      <c r="J46" t="s">
        <v>1837</v>
      </c>
      <c r="K46" t="s">
        <v>1779</v>
      </c>
      <c r="L46" t="s">
        <v>1810</v>
      </c>
      <c r="M46" t="s">
        <v>1103</v>
      </c>
    </row>
    <row r="47" spans="3:13" x14ac:dyDescent="0.25">
      <c r="J47" t="s">
        <v>1838</v>
      </c>
      <c r="K47" t="s">
        <v>1839</v>
      </c>
      <c r="L47" t="s">
        <v>1103</v>
      </c>
      <c r="M47" t="s">
        <v>1103</v>
      </c>
    </row>
    <row r="48" spans="3:13" x14ac:dyDescent="0.25">
      <c r="J48" t="s">
        <v>1840</v>
      </c>
      <c r="K48" t="s">
        <v>1841</v>
      </c>
      <c r="L48" t="s">
        <v>1842</v>
      </c>
      <c r="M48" t="s">
        <v>1103</v>
      </c>
    </row>
    <row r="49" spans="10:13" x14ac:dyDescent="0.25">
      <c r="J49" t="s">
        <v>33</v>
      </c>
      <c r="K49" t="s">
        <v>1843</v>
      </c>
      <c r="L49" t="s">
        <v>1103</v>
      </c>
      <c r="M49" t="s">
        <v>1103</v>
      </c>
    </row>
    <row r="50" spans="10:13" x14ac:dyDescent="0.25">
      <c r="J50" t="s">
        <v>1844</v>
      </c>
      <c r="K50" t="s">
        <v>1845</v>
      </c>
      <c r="L50" t="s">
        <v>1103</v>
      </c>
      <c r="M50" t="s">
        <v>1103</v>
      </c>
    </row>
    <row r="51" spans="10:13" x14ac:dyDescent="0.25">
      <c r="J51" t="s">
        <v>1330</v>
      </c>
      <c r="K51" t="s">
        <v>1331</v>
      </c>
      <c r="L51" t="s">
        <v>1103</v>
      </c>
      <c r="M51" t="s">
        <v>1103</v>
      </c>
    </row>
    <row r="52" spans="10:13" x14ac:dyDescent="0.25">
      <c r="J52" t="s">
        <v>66</v>
      </c>
      <c r="K52" t="s">
        <v>1350</v>
      </c>
      <c r="L52" t="s">
        <v>1103</v>
      </c>
      <c r="M52" t="s">
        <v>1103</v>
      </c>
    </row>
    <row r="53" spans="10:13" x14ac:dyDescent="0.25">
      <c r="J53" t="s">
        <v>1846</v>
      </c>
      <c r="K53" t="s">
        <v>1847</v>
      </c>
      <c r="L53" t="s">
        <v>1103</v>
      </c>
      <c r="M53" t="s">
        <v>1103</v>
      </c>
    </row>
    <row r="54" spans="10:13" x14ac:dyDescent="0.25">
      <c r="J54" t="s">
        <v>1564</v>
      </c>
      <c r="K54" t="s">
        <v>1848</v>
      </c>
      <c r="L54" t="s">
        <v>1313</v>
      </c>
      <c r="M54" t="s">
        <v>1103</v>
      </c>
    </row>
    <row r="55" spans="10:13" x14ac:dyDescent="0.25">
      <c r="J55" t="s">
        <v>1570</v>
      </c>
      <c r="K55" t="s">
        <v>1847</v>
      </c>
      <c r="L55" t="s">
        <v>1313</v>
      </c>
      <c r="M55" t="s">
        <v>1103</v>
      </c>
    </row>
    <row r="56" spans="10:13" x14ac:dyDescent="0.25">
      <c r="J56" t="s">
        <v>19</v>
      </c>
      <c r="K56" t="s">
        <v>1849</v>
      </c>
      <c r="L56" t="s">
        <v>1850</v>
      </c>
      <c r="M56" t="s">
        <v>1315</v>
      </c>
    </row>
    <row r="57" spans="10:13" x14ac:dyDescent="0.25">
      <c r="J57" t="s">
        <v>1607</v>
      </c>
      <c r="K57" t="s">
        <v>1851</v>
      </c>
      <c r="L57" t="s">
        <v>1850</v>
      </c>
      <c r="M57" t="s">
        <v>1315</v>
      </c>
    </row>
    <row r="58" spans="10:13" x14ac:dyDescent="0.25">
      <c r="J58" t="s">
        <v>1611</v>
      </c>
      <c r="K58" t="s">
        <v>1852</v>
      </c>
      <c r="L58" t="s">
        <v>1315</v>
      </c>
      <c r="M58" t="s">
        <v>1103</v>
      </c>
    </row>
    <row r="59" spans="10:13" x14ac:dyDescent="0.25">
      <c r="J59" t="s">
        <v>1616</v>
      </c>
      <c r="K59" t="s">
        <v>1853</v>
      </c>
      <c r="L59" t="s">
        <v>1854</v>
      </c>
      <c r="M59" t="s">
        <v>1103</v>
      </c>
    </row>
    <row r="60" spans="10:13" x14ac:dyDescent="0.25">
      <c r="J60" t="s">
        <v>1619</v>
      </c>
      <c r="K60" t="s">
        <v>1855</v>
      </c>
      <c r="L60" t="s">
        <v>1856</v>
      </c>
      <c r="M60" t="s">
        <v>1103</v>
      </c>
    </row>
    <row r="61" spans="10:13" x14ac:dyDescent="0.25">
      <c r="J61" t="s">
        <v>1623</v>
      </c>
      <c r="K61" t="s">
        <v>1852</v>
      </c>
      <c r="L61" t="s">
        <v>1857</v>
      </c>
      <c r="M61" t="s">
        <v>1858</v>
      </c>
    </row>
    <row r="62" spans="10:13" x14ac:dyDescent="0.25">
      <c r="J62" t="s">
        <v>83</v>
      </c>
      <c r="K62" t="s">
        <v>1859</v>
      </c>
      <c r="L62" t="s">
        <v>1860</v>
      </c>
      <c r="M62" t="s">
        <v>1861</v>
      </c>
    </row>
    <row r="63" spans="10:13" x14ac:dyDescent="0.25">
      <c r="J63" t="s">
        <v>1646</v>
      </c>
      <c r="K63" t="s">
        <v>1862</v>
      </c>
      <c r="L63" t="s">
        <v>1863</v>
      </c>
      <c r="M63" t="s">
        <v>1864</v>
      </c>
    </row>
    <row r="64" spans="10:13" x14ac:dyDescent="0.25">
      <c r="J64" t="s">
        <v>1659</v>
      </c>
      <c r="K64" t="s">
        <v>1859</v>
      </c>
      <c r="L64" t="s">
        <v>1860</v>
      </c>
      <c r="M64" t="s">
        <v>1865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owSources3661MB">
    <tabColor theme="6" tint="0.39997558519241921"/>
  </sheetPr>
  <dimension ref="A1:M64"/>
  <sheetViews>
    <sheetView workbookViewId="0"/>
  </sheetViews>
  <sheetFormatPr defaultColWidth="9.140625" defaultRowHeight="15" x14ac:dyDescent="0.25"/>
  <cols>
    <col min="1" max="1" width="21.7109375" bestFit="1" customWidth="1"/>
    <col min="2" max="2" width="26" bestFit="1" customWidth="1"/>
    <col min="3" max="3" width="28.28515625" bestFit="1" customWidth="1"/>
    <col min="4" max="4" width="19.5703125" bestFit="1" customWidth="1"/>
    <col min="5" max="5" width="22.5703125" bestFit="1" customWidth="1"/>
    <col min="6" max="6" width="24.5703125" bestFit="1" customWidth="1"/>
    <col min="7" max="7" width="39.85546875" bestFit="1" customWidth="1"/>
    <col min="8" max="8" width="28" bestFit="1" customWidth="1"/>
    <col min="9" max="9" width="33.42578125" bestFit="1" customWidth="1"/>
    <col min="10" max="10" width="7.5703125" bestFit="1" customWidth="1"/>
    <col min="11" max="11" width="46.7109375" bestFit="1" customWidth="1"/>
    <col min="12" max="12" width="26.28515625" bestFit="1" customWidth="1"/>
    <col min="13" max="13" width="28.28515625" bestFit="1" customWidth="1"/>
  </cols>
  <sheetData>
    <row r="1" spans="1:13" x14ac:dyDescent="0.25">
      <c r="A1" s="43" t="s">
        <v>132</v>
      </c>
      <c r="B1" s="43" t="s">
        <v>133</v>
      </c>
      <c r="C1" s="43" t="s">
        <v>134</v>
      </c>
      <c r="D1" s="43" t="s">
        <v>139</v>
      </c>
      <c r="E1" s="43" t="s">
        <v>142</v>
      </c>
      <c r="F1" s="43" t="s">
        <v>141</v>
      </c>
      <c r="G1" s="43" t="s">
        <v>1893</v>
      </c>
      <c r="H1" s="43" t="s">
        <v>146</v>
      </c>
      <c r="I1" s="43" t="s">
        <v>1894</v>
      </c>
      <c r="J1" s="43" t="s">
        <v>1895</v>
      </c>
      <c r="K1" s="43" t="s">
        <v>1896</v>
      </c>
      <c r="L1" s="43" t="s">
        <v>1897</v>
      </c>
      <c r="M1" s="43" t="s">
        <v>1898</v>
      </c>
    </row>
    <row r="2" spans="1:13" x14ac:dyDescent="0.25">
      <c r="A2" t="s">
        <v>1680</v>
      </c>
      <c r="B2" t="s">
        <v>1681</v>
      </c>
      <c r="C2" t="s">
        <v>1682</v>
      </c>
      <c r="D2" t="s">
        <v>1683</v>
      </c>
      <c r="E2" t="s">
        <v>1684</v>
      </c>
      <c r="F2" t="s">
        <v>71</v>
      </c>
      <c r="G2" t="s">
        <v>1099</v>
      </c>
      <c r="H2" t="s">
        <v>1100</v>
      </c>
      <c r="I2" t="s">
        <v>72</v>
      </c>
      <c r="J2" t="s">
        <v>1685</v>
      </c>
      <c r="K2" t="s">
        <v>1686</v>
      </c>
      <c r="L2" t="s">
        <v>1103</v>
      </c>
      <c r="M2" t="s">
        <v>1103</v>
      </c>
    </row>
    <row r="3" spans="1:13" x14ac:dyDescent="0.25">
      <c r="A3" t="s">
        <v>1687</v>
      </c>
      <c r="B3" t="s">
        <v>1688</v>
      </c>
      <c r="C3" t="s">
        <v>1689</v>
      </c>
      <c r="D3" t="s">
        <v>1690</v>
      </c>
      <c r="E3" t="s">
        <v>1691</v>
      </c>
      <c r="F3" t="s">
        <v>1111</v>
      </c>
      <c r="G3" t="s">
        <v>1113</v>
      </c>
      <c r="I3" t="s">
        <v>1114</v>
      </c>
      <c r="J3" t="s">
        <v>1692</v>
      </c>
      <c r="K3" t="s">
        <v>1693</v>
      </c>
      <c r="L3" t="s">
        <v>1103</v>
      </c>
      <c r="M3" t="s">
        <v>1103</v>
      </c>
    </row>
    <row r="4" spans="1:13" x14ac:dyDescent="0.25">
      <c r="A4" t="s">
        <v>1694</v>
      </c>
      <c r="B4" t="s">
        <v>1695</v>
      </c>
      <c r="C4" t="s">
        <v>1696</v>
      </c>
      <c r="D4" t="s">
        <v>1697</v>
      </c>
      <c r="F4" t="s">
        <v>1121</v>
      </c>
      <c r="G4" t="s">
        <v>1100</v>
      </c>
      <c r="I4" t="s">
        <v>1122</v>
      </c>
      <c r="J4" t="s">
        <v>1698</v>
      </c>
      <c r="K4" t="s">
        <v>1699</v>
      </c>
      <c r="L4" t="s">
        <v>1103</v>
      </c>
      <c r="M4" t="s">
        <v>1103</v>
      </c>
    </row>
    <row r="5" spans="1:13" x14ac:dyDescent="0.25">
      <c r="B5" t="s">
        <v>1700</v>
      </c>
      <c r="C5" t="s">
        <v>1701</v>
      </c>
      <c r="D5" t="s">
        <v>1702</v>
      </c>
      <c r="F5" t="s">
        <v>1130</v>
      </c>
      <c r="G5" t="s">
        <v>1131</v>
      </c>
      <c r="I5" t="s">
        <v>1132</v>
      </c>
      <c r="J5" t="s">
        <v>1703</v>
      </c>
      <c r="K5" t="s">
        <v>1704</v>
      </c>
      <c r="L5" t="s">
        <v>1103</v>
      </c>
      <c r="M5" t="s">
        <v>1103</v>
      </c>
    </row>
    <row r="6" spans="1:13" x14ac:dyDescent="0.25">
      <c r="B6" t="s">
        <v>1705</v>
      </c>
      <c r="C6" t="s">
        <v>1706</v>
      </c>
      <c r="D6" t="s">
        <v>1707</v>
      </c>
      <c r="F6" t="s">
        <v>1139</v>
      </c>
      <c r="G6" t="s">
        <v>1140</v>
      </c>
      <c r="J6" t="s">
        <v>1708</v>
      </c>
      <c r="K6" t="s">
        <v>1709</v>
      </c>
      <c r="L6" t="s">
        <v>1103</v>
      </c>
      <c r="M6" t="s">
        <v>1103</v>
      </c>
    </row>
    <row r="7" spans="1:13" x14ac:dyDescent="0.25">
      <c r="B7" t="s">
        <v>1710</v>
      </c>
      <c r="C7" t="s">
        <v>1711</v>
      </c>
      <c r="D7" t="s">
        <v>1712</v>
      </c>
      <c r="F7" t="s">
        <v>1147</v>
      </c>
      <c r="G7" t="s">
        <v>1148</v>
      </c>
      <c r="J7" t="s">
        <v>1302</v>
      </c>
      <c r="K7" t="s">
        <v>1713</v>
      </c>
      <c r="L7" t="s">
        <v>1103</v>
      </c>
      <c r="M7" t="s">
        <v>1103</v>
      </c>
    </row>
    <row r="8" spans="1:13" x14ac:dyDescent="0.25">
      <c r="B8" t="s">
        <v>1714</v>
      </c>
      <c r="C8" t="s">
        <v>1715</v>
      </c>
      <c r="D8" t="s">
        <v>1716</v>
      </c>
      <c r="F8" t="s">
        <v>1160</v>
      </c>
      <c r="J8" t="s">
        <v>1717</v>
      </c>
      <c r="K8" t="s">
        <v>1718</v>
      </c>
      <c r="L8" t="s">
        <v>1103</v>
      </c>
      <c r="M8" t="s">
        <v>1103</v>
      </c>
    </row>
    <row r="9" spans="1:13" x14ac:dyDescent="0.25">
      <c r="B9" t="s">
        <v>1719</v>
      </c>
      <c r="C9" t="s">
        <v>1720</v>
      </c>
      <c r="F9" t="s">
        <v>1166</v>
      </c>
      <c r="J9" t="s">
        <v>1721</v>
      </c>
      <c r="K9" t="s">
        <v>1722</v>
      </c>
      <c r="L9" t="s">
        <v>1103</v>
      </c>
      <c r="M9" t="s">
        <v>1103</v>
      </c>
    </row>
    <row r="10" spans="1:13" x14ac:dyDescent="0.25">
      <c r="B10" t="s">
        <v>1723</v>
      </c>
      <c r="C10" t="s">
        <v>1724</v>
      </c>
      <c r="F10" t="s">
        <v>1172</v>
      </c>
      <c r="J10" t="s">
        <v>1305</v>
      </c>
      <c r="K10" t="s">
        <v>1725</v>
      </c>
      <c r="L10" t="s">
        <v>1103</v>
      </c>
      <c r="M10" t="s">
        <v>1103</v>
      </c>
    </row>
    <row r="11" spans="1:13" x14ac:dyDescent="0.25">
      <c r="B11" t="s">
        <v>1726</v>
      </c>
      <c r="C11" t="s">
        <v>1727</v>
      </c>
      <c r="F11" t="s">
        <v>1178</v>
      </c>
      <c r="J11" t="s">
        <v>1307</v>
      </c>
      <c r="K11" t="s">
        <v>1728</v>
      </c>
      <c r="L11" t="s">
        <v>1103</v>
      </c>
      <c r="M11" t="s">
        <v>1103</v>
      </c>
    </row>
    <row r="12" spans="1:13" x14ac:dyDescent="0.25">
      <c r="B12" t="s">
        <v>1729</v>
      </c>
      <c r="C12" t="s">
        <v>1730</v>
      </c>
      <c r="J12" t="s">
        <v>1309</v>
      </c>
      <c r="K12" t="s">
        <v>1731</v>
      </c>
      <c r="L12" t="s">
        <v>1103</v>
      </c>
      <c r="M12" t="s">
        <v>1103</v>
      </c>
    </row>
    <row r="13" spans="1:13" x14ac:dyDescent="0.25">
      <c r="B13" t="s">
        <v>1732</v>
      </c>
      <c r="C13" t="s">
        <v>1733</v>
      </c>
      <c r="J13" t="s">
        <v>1734</v>
      </c>
      <c r="K13" t="s">
        <v>1735</v>
      </c>
      <c r="L13" t="s">
        <v>1103</v>
      </c>
      <c r="M13" t="s">
        <v>1103</v>
      </c>
    </row>
    <row r="14" spans="1:13" x14ac:dyDescent="0.25">
      <c r="B14" t="s">
        <v>1736</v>
      </c>
      <c r="C14" t="s">
        <v>1737</v>
      </c>
      <c r="J14" t="s">
        <v>1738</v>
      </c>
      <c r="K14" t="s">
        <v>1739</v>
      </c>
      <c r="L14" t="s">
        <v>1103</v>
      </c>
      <c r="M14" t="s">
        <v>1103</v>
      </c>
    </row>
    <row r="15" spans="1:13" x14ac:dyDescent="0.25">
      <c r="B15" t="s">
        <v>1740</v>
      </c>
      <c r="C15" t="s">
        <v>1741</v>
      </c>
      <c r="J15" t="s">
        <v>1742</v>
      </c>
      <c r="K15" t="s">
        <v>1743</v>
      </c>
      <c r="L15" t="s">
        <v>1103</v>
      </c>
      <c r="M15" t="s">
        <v>1103</v>
      </c>
    </row>
    <row r="16" spans="1:13" x14ac:dyDescent="0.25">
      <c r="B16" t="s">
        <v>1744</v>
      </c>
      <c r="C16" t="s">
        <v>1745</v>
      </c>
      <c r="J16" t="s">
        <v>1746</v>
      </c>
      <c r="K16" t="s">
        <v>1747</v>
      </c>
      <c r="L16" t="s">
        <v>1103</v>
      </c>
      <c r="M16" t="s">
        <v>1103</v>
      </c>
    </row>
    <row r="17" spans="2:13" x14ac:dyDescent="0.25">
      <c r="B17" t="s">
        <v>1748</v>
      </c>
      <c r="C17" t="s">
        <v>1749</v>
      </c>
      <c r="J17" t="s">
        <v>1750</v>
      </c>
      <c r="K17" t="s">
        <v>1751</v>
      </c>
      <c r="L17" t="s">
        <v>1103</v>
      </c>
      <c r="M17" t="s">
        <v>1103</v>
      </c>
    </row>
    <row r="18" spans="2:13" x14ac:dyDescent="0.25">
      <c r="B18" t="s">
        <v>1752</v>
      </c>
      <c r="C18" t="s">
        <v>1753</v>
      </c>
      <c r="J18" t="s">
        <v>1754</v>
      </c>
      <c r="K18" t="s">
        <v>1755</v>
      </c>
      <c r="L18" t="s">
        <v>1756</v>
      </c>
      <c r="M18" t="s">
        <v>1103</v>
      </c>
    </row>
    <row r="19" spans="2:13" x14ac:dyDescent="0.25">
      <c r="B19" t="s">
        <v>1757</v>
      </c>
      <c r="C19" t="s">
        <v>1758</v>
      </c>
      <c r="J19" t="s">
        <v>1759</v>
      </c>
      <c r="K19" t="s">
        <v>1760</v>
      </c>
      <c r="L19" t="s">
        <v>1103</v>
      </c>
      <c r="M19" t="s">
        <v>1103</v>
      </c>
    </row>
    <row r="20" spans="2:13" x14ac:dyDescent="0.25">
      <c r="B20" t="s">
        <v>1761</v>
      </c>
      <c r="C20" t="s">
        <v>1762</v>
      </c>
      <c r="J20" t="s">
        <v>1763</v>
      </c>
      <c r="K20" t="s">
        <v>1764</v>
      </c>
      <c r="L20" t="s">
        <v>1103</v>
      </c>
      <c r="M20" t="s">
        <v>1103</v>
      </c>
    </row>
    <row r="21" spans="2:13" x14ac:dyDescent="0.25">
      <c r="C21" t="s">
        <v>1765</v>
      </c>
      <c r="J21" t="s">
        <v>1766</v>
      </c>
      <c r="K21" t="s">
        <v>1767</v>
      </c>
      <c r="L21" t="s">
        <v>1103</v>
      </c>
      <c r="M21" t="s">
        <v>1103</v>
      </c>
    </row>
    <row r="22" spans="2:13" x14ac:dyDescent="0.25">
      <c r="C22" t="s">
        <v>1768</v>
      </c>
      <c r="J22" t="s">
        <v>1769</v>
      </c>
      <c r="K22" t="s">
        <v>1770</v>
      </c>
      <c r="L22" t="s">
        <v>1103</v>
      </c>
      <c r="M22" t="s">
        <v>1103</v>
      </c>
    </row>
    <row r="23" spans="2:13" x14ac:dyDescent="0.25">
      <c r="C23" t="s">
        <v>1771</v>
      </c>
      <c r="J23" t="s">
        <v>1772</v>
      </c>
      <c r="K23" t="s">
        <v>1773</v>
      </c>
      <c r="L23" t="s">
        <v>1103</v>
      </c>
      <c r="M23" t="s">
        <v>1103</v>
      </c>
    </row>
    <row r="24" spans="2:13" x14ac:dyDescent="0.25">
      <c r="C24" t="s">
        <v>1774</v>
      </c>
      <c r="J24" t="s">
        <v>1775</v>
      </c>
      <c r="K24" t="s">
        <v>1776</v>
      </c>
      <c r="L24" t="s">
        <v>1103</v>
      </c>
      <c r="M24" t="s">
        <v>1103</v>
      </c>
    </row>
    <row r="25" spans="2:13" x14ac:dyDescent="0.25">
      <c r="C25" t="s">
        <v>1777</v>
      </c>
      <c r="J25" t="s">
        <v>1778</v>
      </c>
      <c r="K25" t="s">
        <v>1779</v>
      </c>
      <c r="L25" t="s">
        <v>1103</v>
      </c>
      <c r="M25" t="s">
        <v>1103</v>
      </c>
    </row>
    <row r="26" spans="2:13" x14ac:dyDescent="0.25">
      <c r="C26" t="s">
        <v>1780</v>
      </c>
      <c r="J26" t="s">
        <v>1781</v>
      </c>
      <c r="K26" t="s">
        <v>1782</v>
      </c>
      <c r="L26" t="s">
        <v>1103</v>
      </c>
      <c r="M26" t="s">
        <v>1103</v>
      </c>
    </row>
    <row r="27" spans="2:13" x14ac:dyDescent="0.25">
      <c r="C27" t="s">
        <v>1783</v>
      </c>
      <c r="J27" t="s">
        <v>1784</v>
      </c>
      <c r="K27" t="s">
        <v>1785</v>
      </c>
      <c r="L27" t="s">
        <v>1103</v>
      </c>
      <c r="M27" t="s">
        <v>1103</v>
      </c>
    </row>
    <row r="28" spans="2:13" x14ac:dyDescent="0.25">
      <c r="C28" t="s">
        <v>1786</v>
      </c>
      <c r="J28" t="s">
        <v>1787</v>
      </c>
      <c r="K28" t="s">
        <v>1788</v>
      </c>
      <c r="L28" t="s">
        <v>1103</v>
      </c>
      <c r="M28" t="s">
        <v>1103</v>
      </c>
    </row>
    <row r="29" spans="2:13" x14ac:dyDescent="0.25">
      <c r="C29" t="s">
        <v>1789</v>
      </c>
      <c r="J29" t="s">
        <v>1790</v>
      </c>
      <c r="K29" t="s">
        <v>1791</v>
      </c>
      <c r="L29" t="s">
        <v>1103</v>
      </c>
      <c r="M29" t="s">
        <v>1103</v>
      </c>
    </row>
    <row r="30" spans="2:13" x14ac:dyDescent="0.25">
      <c r="C30" t="s">
        <v>1792</v>
      </c>
      <c r="J30" t="s">
        <v>1793</v>
      </c>
      <c r="K30" t="s">
        <v>1794</v>
      </c>
      <c r="L30" t="s">
        <v>1103</v>
      </c>
      <c r="M30" t="s">
        <v>1103</v>
      </c>
    </row>
    <row r="31" spans="2:13" x14ac:dyDescent="0.25">
      <c r="C31" t="s">
        <v>1795</v>
      </c>
      <c r="J31" t="s">
        <v>1796</v>
      </c>
      <c r="K31" t="s">
        <v>1797</v>
      </c>
      <c r="L31" t="s">
        <v>1103</v>
      </c>
      <c r="M31" t="s">
        <v>1103</v>
      </c>
    </row>
    <row r="32" spans="2:13" x14ac:dyDescent="0.25">
      <c r="C32" t="s">
        <v>1798</v>
      </c>
      <c r="J32" t="s">
        <v>1799</v>
      </c>
      <c r="K32" t="s">
        <v>1800</v>
      </c>
      <c r="L32" t="s">
        <v>1103</v>
      </c>
      <c r="M32" t="s">
        <v>1103</v>
      </c>
    </row>
    <row r="33" spans="3:13" x14ac:dyDescent="0.25">
      <c r="C33" t="s">
        <v>1801</v>
      </c>
      <c r="J33" t="s">
        <v>1802</v>
      </c>
      <c r="K33" t="s">
        <v>1803</v>
      </c>
      <c r="L33" t="s">
        <v>1103</v>
      </c>
      <c r="M33" t="s">
        <v>1103</v>
      </c>
    </row>
    <row r="34" spans="3:13" x14ac:dyDescent="0.25">
      <c r="C34" t="s">
        <v>1804</v>
      </c>
      <c r="J34" t="s">
        <v>1805</v>
      </c>
      <c r="K34" t="s">
        <v>1806</v>
      </c>
      <c r="L34" t="s">
        <v>1103</v>
      </c>
      <c r="M34" t="s">
        <v>1103</v>
      </c>
    </row>
    <row r="35" spans="3:13" x14ac:dyDescent="0.25">
      <c r="C35" t="s">
        <v>1807</v>
      </c>
      <c r="J35" t="s">
        <v>1808</v>
      </c>
      <c r="K35" t="s">
        <v>1809</v>
      </c>
      <c r="L35" t="s">
        <v>1810</v>
      </c>
      <c r="M35" t="s">
        <v>1103</v>
      </c>
    </row>
    <row r="36" spans="3:13" x14ac:dyDescent="0.25">
      <c r="C36" t="s">
        <v>1811</v>
      </c>
      <c r="J36" t="s">
        <v>1812</v>
      </c>
      <c r="K36" t="s">
        <v>1809</v>
      </c>
      <c r="L36" t="s">
        <v>1813</v>
      </c>
      <c r="M36" t="s">
        <v>1103</v>
      </c>
    </row>
    <row r="37" spans="3:13" x14ac:dyDescent="0.25">
      <c r="C37" t="s">
        <v>1814</v>
      </c>
      <c r="J37" t="s">
        <v>1815</v>
      </c>
      <c r="K37" t="s">
        <v>1816</v>
      </c>
      <c r="M37" t="s">
        <v>1103</v>
      </c>
    </row>
    <row r="38" spans="3:13" x14ac:dyDescent="0.25">
      <c r="C38" t="s">
        <v>1817</v>
      </c>
      <c r="J38" t="s">
        <v>1818</v>
      </c>
      <c r="K38" t="s">
        <v>1779</v>
      </c>
      <c r="L38" t="s">
        <v>1810</v>
      </c>
      <c r="M38" t="s">
        <v>1103</v>
      </c>
    </row>
    <row r="39" spans="3:13" x14ac:dyDescent="0.25">
      <c r="C39" t="s">
        <v>1819</v>
      </c>
      <c r="J39" t="s">
        <v>1820</v>
      </c>
      <c r="K39" t="s">
        <v>1821</v>
      </c>
      <c r="L39" t="s">
        <v>1822</v>
      </c>
      <c r="M39" t="s">
        <v>1103</v>
      </c>
    </row>
    <row r="40" spans="3:13" x14ac:dyDescent="0.25">
      <c r="C40" t="s">
        <v>1823</v>
      </c>
      <c r="J40" t="s">
        <v>1824</v>
      </c>
      <c r="K40" t="s">
        <v>1816</v>
      </c>
      <c r="L40" t="s">
        <v>1810</v>
      </c>
      <c r="M40" t="s">
        <v>1103</v>
      </c>
    </row>
    <row r="41" spans="3:13" x14ac:dyDescent="0.25">
      <c r="C41" t="s">
        <v>1825</v>
      </c>
      <c r="J41" t="s">
        <v>1826</v>
      </c>
      <c r="K41" t="s">
        <v>1827</v>
      </c>
      <c r="L41" t="s">
        <v>1813</v>
      </c>
      <c r="M41" t="s">
        <v>1103</v>
      </c>
    </row>
    <row r="42" spans="3:13" x14ac:dyDescent="0.25">
      <c r="C42" t="s">
        <v>1828</v>
      </c>
      <c r="J42" t="s">
        <v>1829</v>
      </c>
      <c r="K42" t="s">
        <v>1827</v>
      </c>
      <c r="L42" t="s">
        <v>1810</v>
      </c>
      <c r="M42" t="s">
        <v>1103</v>
      </c>
    </row>
    <row r="43" spans="3:13" x14ac:dyDescent="0.25">
      <c r="C43" t="s">
        <v>1830</v>
      </c>
      <c r="J43" t="s">
        <v>1831</v>
      </c>
      <c r="K43" t="s">
        <v>1779</v>
      </c>
      <c r="L43" t="s">
        <v>1813</v>
      </c>
      <c r="M43" t="s">
        <v>1103</v>
      </c>
    </row>
    <row r="44" spans="3:13" x14ac:dyDescent="0.25">
      <c r="C44" t="s">
        <v>1832</v>
      </c>
      <c r="J44" t="s">
        <v>1833</v>
      </c>
      <c r="K44" t="s">
        <v>1821</v>
      </c>
      <c r="L44" t="s">
        <v>1810</v>
      </c>
      <c r="M44" t="s">
        <v>1103</v>
      </c>
    </row>
    <row r="45" spans="3:13" x14ac:dyDescent="0.25">
      <c r="C45" t="s">
        <v>1834</v>
      </c>
      <c r="J45" t="s">
        <v>1835</v>
      </c>
      <c r="K45" t="s">
        <v>1821</v>
      </c>
      <c r="L45" t="s">
        <v>1813</v>
      </c>
      <c r="M45" t="s">
        <v>1103</v>
      </c>
    </row>
    <row r="46" spans="3:13" x14ac:dyDescent="0.25">
      <c r="C46" t="s">
        <v>1836</v>
      </c>
      <c r="J46" t="s">
        <v>1837</v>
      </c>
      <c r="K46" t="s">
        <v>1779</v>
      </c>
      <c r="L46" t="s">
        <v>1810</v>
      </c>
      <c r="M46" t="s">
        <v>1103</v>
      </c>
    </row>
    <row r="47" spans="3:13" x14ac:dyDescent="0.25">
      <c r="J47" t="s">
        <v>1838</v>
      </c>
      <c r="K47" t="s">
        <v>1839</v>
      </c>
      <c r="L47" t="s">
        <v>1103</v>
      </c>
      <c r="M47" t="s">
        <v>1103</v>
      </c>
    </row>
    <row r="48" spans="3:13" x14ac:dyDescent="0.25">
      <c r="J48" t="s">
        <v>1840</v>
      </c>
      <c r="K48" t="s">
        <v>1841</v>
      </c>
      <c r="L48" t="s">
        <v>1842</v>
      </c>
      <c r="M48" t="s">
        <v>1103</v>
      </c>
    </row>
    <row r="49" spans="10:13" x14ac:dyDescent="0.25">
      <c r="J49" t="s">
        <v>33</v>
      </c>
      <c r="K49" t="s">
        <v>1843</v>
      </c>
      <c r="L49" t="s">
        <v>1103</v>
      </c>
      <c r="M49" t="s">
        <v>1103</v>
      </c>
    </row>
    <row r="50" spans="10:13" x14ac:dyDescent="0.25">
      <c r="J50" t="s">
        <v>1844</v>
      </c>
      <c r="K50" t="s">
        <v>1845</v>
      </c>
      <c r="L50" t="s">
        <v>1103</v>
      </c>
      <c r="M50" t="s">
        <v>1103</v>
      </c>
    </row>
    <row r="51" spans="10:13" x14ac:dyDescent="0.25">
      <c r="J51" t="s">
        <v>1330</v>
      </c>
      <c r="K51" t="s">
        <v>1331</v>
      </c>
      <c r="L51" t="s">
        <v>1103</v>
      </c>
      <c r="M51" t="s">
        <v>1103</v>
      </c>
    </row>
    <row r="52" spans="10:13" x14ac:dyDescent="0.25">
      <c r="J52" t="s">
        <v>66</v>
      </c>
      <c r="K52" t="s">
        <v>1350</v>
      </c>
      <c r="L52" t="s">
        <v>1103</v>
      </c>
      <c r="M52" t="s">
        <v>1103</v>
      </c>
    </row>
    <row r="53" spans="10:13" x14ac:dyDescent="0.25">
      <c r="J53" t="s">
        <v>1846</v>
      </c>
      <c r="K53" t="s">
        <v>1847</v>
      </c>
      <c r="L53" t="s">
        <v>1103</v>
      </c>
      <c r="M53" t="s">
        <v>1103</v>
      </c>
    </row>
    <row r="54" spans="10:13" x14ac:dyDescent="0.25">
      <c r="J54" t="s">
        <v>1564</v>
      </c>
      <c r="K54" t="s">
        <v>1848</v>
      </c>
      <c r="L54" t="s">
        <v>1313</v>
      </c>
      <c r="M54" t="s">
        <v>1103</v>
      </c>
    </row>
    <row r="55" spans="10:13" x14ac:dyDescent="0.25">
      <c r="J55" t="s">
        <v>1570</v>
      </c>
      <c r="K55" t="s">
        <v>1847</v>
      </c>
      <c r="L55" t="s">
        <v>1313</v>
      </c>
      <c r="M55" t="s">
        <v>1103</v>
      </c>
    </row>
    <row r="56" spans="10:13" x14ac:dyDescent="0.25">
      <c r="J56" t="s">
        <v>19</v>
      </c>
      <c r="K56" t="s">
        <v>1849</v>
      </c>
      <c r="L56" t="s">
        <v>1850</v>
      </c>
      <c r="M56" t="s">
        <v>1315</v>
      </c>
    </row>
    <row r="57" spans="10:13" x14ac:dyDescent="0.25">
      <c r="J57" t="s">
        <v>1607</v>
      </c>
      <c r="K57" t="s">
        <v>1851</v>
      </c>
      <c r="L57" t="s">
        <v>1850</v>
      </c>
      <c r="M57" t="s">
        <v>1315</v>
      </c>
    </row>
    <row r="58" spans="10:13" x14ac:dyDescent="0.25">
      <c r="J58" t="s">
        <v>1611</v>
      </c>
      <c r="K58" t="s">
        <v>1852</v>
      </c>
      <c r="L58" t="s">
        <v>1315</v>
      </c>
      <c r="M58" t="s">
        <v>1103</v>
      </c>
    </row>
    <row r="59" spans="10:13" x14ac:dyDescent="0.25">
      <c r="J59" t="s">
        <v>1616</v>
      </c>
      <c r="K59" t="s">
        <v>1853</v>
      </c>
      <c r="L59" t="s">
        <v>1854</v>
      </c>
      <c r="M59" t="s">
        <v>1103</v>
      </c>
    </row>
    <row r="60" spans="10:13" x14ac:dyDescent="0.25">
      <c r="J60" t="s">
        <v>1619</v>
      </c>
      <c r="K60" t="s">
        <v>1855</v>
      </c>
      <c r="L60" t="s">
        <v>1856</v>
      </c>
      <c r="M60" t="s">
        <v>1103</v>
      </c>
    </row>
    <row r="61" spans="10:13" x14ac:dyDescent="0.25">
      <c r="J61" t="s">
        <v>1623</v>
      </c>
      <c r="K61" t="s">
        <v>1852</v>
      </c>
      <c r="L61" t="s">
        <v>1857</v>
      </c>
      <c r="M61" t="s">
        <v>1858</v>
      </c>
    </row>
    <row r="62" spans="10:13" x14ac:dyDescent="0.25">
      <c r="J62" t="s">
        <v>83</v>
      </c>
      <c r="K62" t="s">
        <v>1859</v>
      </c>
      <c r="L62" t="s">
        <v>1860</v>
      </c>
      <c r="M62" t="s">
        <v>1861</v>
      </c>
    </row>
    <row r="63" spans="10:13" x14ac:dyDescent="0.25">
      <c r="J63" t="s">
        <v>1646</v>
      </c>
      <c r="K63" t="s">
        <v>1862</v>
      </c>
      <c r="L63" t="s">
        <v>1863</v>
      </c>
      <c r="M63" t="s">
        <v>1864</v>
      </c>
    </row>
    <row r="64" spans="10:13" x14ac:dyDescent="0.25">
      <c r="J64" t="s">
        <v>1659</v>
      </c>
      <c r="K64" t="s">
        <v>1859</v>
      </c>
      <c r="L64" t="s">
        <v>1860</v>
      </c>
      <c r="M64" t="s">
        <v>1865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Manager</vt:lpstr>
      <vt:lpstr>CustomersList</vt:lpstr>
      <vt:lpstr>Adresses</vt:lpstr>
      <vt:lpstr>Controls</vt:lpstr>
      <vt:lpstr>Contacts</vt:lpstr>
      <vt:lpstr>Sales</vt:lpstr>
      <vt:lpstr>Shippings</vt:lpstr>
      <vt:lpstr>Billings</vt:lpstr>
      <vt:lpstr>Partners</vt:lpstr>
      <vt:lpstr>Extras</vt:lpstr>
      <vt:lpstr>RPAStatus</vt:lpstr>
      <vt:lpstr>CaptionSources.EN</vt:lpstr>
      <vt:lpstr>CaptionSources.DE</vt:lpstr>
      <vt:lpstr>RowSources.EN</vt:lpstr>
      <vt:lpstr>RowSources.DE</vt:lpstr>
      <vt:lpstr>RowSources.0361.ES</vt:lpstr>
      <vt:lpstr>RowSources.2561.01</vt:lpstr>
      <vt:lpstr>RowSources.2961.01</vt:lpstr>
      <vt:lpstr>RowSources.2961.GY</vt:lpstr>
      <vt:lpstr>RowSources.2961.HD</vt:lpstr>
      <vt:lpstr>RowSources.3661.01</vt:lpstr>
      <vt:lpstr>RowSources.3661.MB</vt:lpstr>
      <vt:lpstr>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Toth, Zoltan</dc:creator>
  <cp:lastModifiedBy>Toth, Zoltan</cp:lastModifiedBy>
  <cp:lastPrinted>2021-02-18T16:17:55Z</cp:lastPrinted>
  <dcterms:created xsi:type="dcterms:W3CDTF">2021-02-09T06:58:13Z</dcterms:created>
  <dcterms:modified xsi:type="dcterms:W3CDTF">2021-04-13T15:34:04Z</dcterms:modified>
</cp:coreProperties>
</file>